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Tickets" sheetId="3" state="visible" r:id="rId5"/>
    <sheet name="Categories" sheetId="4" state="visible" r:id="rId6"/>
    <sheet name="Technicians" sheetId="5" state="visible" r:id="rId7"/>
    <sheet name="Notes" sheetId="6" state="visible" r:id="rId8"/>
  </sheets>
  <definedNames>
    <definedName function="false" hidden="true" localSheetId="2" name="_xlnm._FilterDatabase" vbProcedure="false">Tickets!$A$1:$L$121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<sst xmlns="http://schemas.openxmlformats.org/spreadsheetml/2006/main" count="566" uniqueCount="110">
  <si>
    <t xml:space="preserve">Ticket Analytics Dashboard</t>
  </si>
  <si>
    <t xml:space="preserve">IT support tickets: what happens most, how long it takes to fix, and when requests peak</t>
  </si>
  <si>
    <t xml:space="preserve">SAMPLE DATA: the 120 tickets in this file (3 Aug to 27 Sep 2026) are made up for demonstration. They are not real company tickets.</t>
  </si>
  <si>
    <t xml:space="preserve">TOTAL TICKETS</t>
  </si>
  <si>
    <t xml:space="preserve">TOP CATEGORY</t>
  </si>
  <si>
    <t xml:space="preserve">AVERAGE RESOLUTION</t>
  </si>
  <si>
    <t xml:space="preserve">BUSIEST WEEKDAY</t>
  </si>
  <si>
    <t xml:space="preserve">tickets in the Tickets sheet</t>
  </si>
  <si>
    <t xml:space="preserve">hours from created to closed</t>
  </si>
  <si>
    <t xml:space="preserve">To update: replace the data in the Tickets sheet (columns A to I). Every number and chart refreshes by itself. See the Notes sheet.</t>
  </si>
  <si>
    <t xml:space="preserve">Summary tables (calculated from the Tickets sheet)</t>
  </si>
  <si>
    <t xml:space="preserve">All cells here are formulas. Do not type over them.</t>
  </si>
  <si>
    <t xml:space="preserve">Ranked (chart data)</t>
  </si>
  <si>
    <t xml:space="preserve">Category ID</t>
  </si>
  <si>
    <t xml:space="preserve">Category</t>
  </si>
  <si>
    <t xml:space="preserve">Tickets</t>
  </si>
  <si>
    <t xml:space="preserve">Avg hours</t>
  </si>
  <si>
    <t xml:space="preserve">Sort key: tickets</t>
  </si>
  <si>
    <t xml:space="preserve">Sort key: hours</t>
  </si>
  <si>
    <t xml:space="preserve">Tickets by weekday</t>
  </si>
  <si>
    <t xml:space="preserve">Weekday</t>
  </si>
  <si>
    <t xml:space="preserve">Day no.</t>
  </si>
  <si>
    <t xml:space="preserve">Key number</t>
  </si>
  <si>
    <t xml:space="preserve">Value</t>
  </si>
  <si>
    <t xml:space="preserve">Mon</t>
  </si>
  <si>
    <t xml:space="preserve">Total tickets</t>
  </si>
  <si>
    <t xml:space="preserve">Tue</t>
  </si>
  <si>
    <t xml:space="preserve">Top category</t>
  </si>
  <si>
    <t xml:space="preserve">Wed</t>
  </si>
  <si>
    <t xml:space="preserve">Top category share</t>
  </si>
  <si>
    <t xml:space="preserve">Thu</t>
  </si>
  <si>
    <t xml:space="preserve">Average resolution (hours)</t>
  </si>
  <si>
    <t xml:space="preserve">Fri</t>
  </si>
  <si>
    <t xml:space="preserve">Busiest weekday</t>
  </si>
  <si>
    <t xml:space="preserve">Sat</t>
  </si>
  <si>
    <t xml:space="preserve">Busiest weekday tickets</t>
  </si>
  <si>
    <t xml:space="preserve">Sun</t>
  </si>
  <si>
    <t xml:space="preserve">Technician workload</t>
  </si>
  <si>
    <t xml:space="preserve">Technician</t>
  </si>
  <si>
    <t xml:space="preserve">ticket_id</t>
  </si>
  <si>
    <t xml:space="preserve">title</t>
  </si>
  <si>
    <t xml:space="preserve">created_at</t>
  </si>
  <si>
    <t xml:space="preserve">closed_at</t>
  </si>
  <si>
    <t xml:space="preserve">category_id</t>
  </si>
  <si>
    <t xml:space="preserve">priority</t>
  </si>
  <si>
    <t xml:space="preserve">status</t>
  </si>
  <si>
    <t xml:space="preserve">department</t>
  </si>
  <si>
    <t xml:space="preserve">technician_id</t>
  </si>
  <si>
    <t xml:space="preserve">category</t>
  </si>
  <si>
    <t xml:space="preserve">resolution_hours</t>
  </si>
  <si>
    <t xml:space="preserve">weekday</t>
  </si>
  <si>
    <t xml:space="preserve">Account locked</t>
  </si>
  <si>
    <t xml:space="preserve">Low</t>
  </si>
  <si>
    <t xml:space="preserve">Closed</t>
  </si>
  <si>
    <t xml:space="preserve">Warehouse</t>
  </si>
  <si>
    <t xml:space="preserve">Cannot reach shared folder</t>
  </si>
  <si>
    <t xml:space="preserve">Sales</t>
  </si>
  <si>
    <t xml:space="preserve">Windows update failed</t>
  </si>
  <si>
    <t xml:space="preserve">Medium</t>
  </si>
  <si>
    <t xml:space="preserve">Monitor shows no display</t>
  </si>
  <si>
    <t xml:space="preserve">Connected but no internet</t>
  </si>
  <si>
    <t xml:space="preserve">Operations</t>
  </si>
  <si>
    <t xml:space="preserve">Need access to shared drive</t>
  </si>
  <si>
    <t xml:space="preserve">High</t>
  </si>
  <si>
    <t xml:space="preserve">Finance</t>
  </si>
  <si>
    <t xml:space="preserve">New user account request</t>
  </si>
  <si>
    <t xml:space="preserve">Email not receiving messages</t>
  </si>
  <si>
    <t xml:space="preserve">Computer will not turn on</t>
  </si>
  <si>
    <t xml:space="preserve">Cannot install software</t>
  </si>
  <si>
    <t xml:space="preserve">Paper jam</t>
  </si>
  <si>
    <t xml:space="preserve">Laptop battery drains fast</t>
  </si>
  <si>
    <t xml:space="preserve">Forgot password</t>
  </si>
  <si>
    <t xml:space="preserve">HR</t>
  </si>
  <si>
    <t xml:space="preserve">Slow network</t>
  </si>
  <si>
    <t xml:space="preserve">Printer offline</t>
  </si>
  <si>
    <t xml:space="preserve">Software license expired</t>
  </si>
  <si>
    <t xml:space="preserve">Email client not opening</t>
  </si>
  <si>
    <t xml:space="preserve">Keyboard or mouse not working</t>
  </si>
  <si>
    <t xml:space="preserve">Computer very slow</t>
  </si>
  <si>
    <t xml:space="preserve">IP address conflict</t>
  </si>
  <si>
    <t xml:space="preserve">Cannot connect to Wi-Fi</t>
  </si>
  <si>
    <t xml:space="preserve">Application keeps crashing</t>
  </si>
  <si>
    <t xml:space="preserve">Printer not printing</t>
  </si>
  <si>
    <t xml:space="preserve">id</t>
  </si>
  <si>
    <t xml:space="preserve">name</t>
  </si>
  <si>
    <t xml:space="preserve">Network</t>
  </si>
  <si>
    <t xml:space="preserve">Hardware</t>
  </si>
  <si>
    <t xml:space="preserve">Software</t>
  </si>
  <si>
    <t xml:space="preserve">Account</t>
  </si>
  <si>
    <t xml:space="preserve">Printer</t>
  </si>
  <si>
    <t xml:space="preserve">Technician A</t>
  </si>
  <si>
    <t xml:space="preserve">Technician B</t>
  </si>
  <si>
    <t xml:space="preserve">Technician C</t>
  </si>
  <si>
    <t xml:space="preserve">Notes</t>
  </si>
  <si>
    <t xml:space="preserve">What this is</t>
  </si>
  <si>
    <t xml:space="preserve">A dashboard for the Ticket Analytics Dashboard project. It shows the same four key numbers and three charts as the project page on the portfolio website.</t>
  </si>
  <si>
    <t xml:space="preserve">Data</t>
  </si>
  <si>
    <t xml:space="preserve">SAMPLE DATA: 120 made-up tickets. The same tickets are in data/tickets.csv in the repository. Not real company data.</t>
  </si>
  <si>
    <t xml:space="preserve">Blue text = data you can change (Tickets columns A to I, and the Categories and Technicians sheets). Black text = formulas. Do not type over formulas.</t>
  </si>
  <si>
    <t xml:space="preserve">Example row (Tickets sheet, row 2) shows the expected format: a ticket number, a title, created and closed dates and times, a category id, and so on.</t>
  </si>
  <si>
    <t xml:space="preserve">How to use your own data</t>
  </si>
  <si>
    <t xml:space="preserve">1. Remove names and any confidential details first, and get permission for real company data.</t>
  </si>
  <si>
    <t xml:space="preserve">2. Paste your tickets into the Tickets sheet, columns A to I, starting at row 2. Keep the same column order.</t>
  </si>
  <si>
    <t xml:space="preserve">3. If you have more than 120 rows, copy the formulas in columns J, K and L down to the last row. All summaries read up to row 1000.</t>
  </si>
  <si>
    <t xml:space="preserve">4. Open the Summary sheet and the Dashboard. The numbers and charts update automatically.</t>
  </si>
  <si>
    <t xml:space="preserve">How the numbers are calculated</t>
  </si>
  <si>
    <t xml:space="preserve">Tickets per category = COUNTIF on category_id (SQL query 1). Average hours to resolve = average of resolution_hours per category (SQL query 2).</t>
  </si>
  <si>
    <t xml:space="preserve">Resolution hours = closed_at minus created_at, in whole hours. Tickets without closed_at are left out of the averages.</t>
  </si>
  <si>
    <t xml:space="preserve">Tickets per weekday = count of the weekday of created_at (SQL query 3). Technician workload is on the Summary sheet (SQL query 6).</t>
  </si>
  <si>
    <t xml:space="preserve">The category and average-hour charts are sorted from highest to lowest automatically.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</si>
</sst>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0.0&quot; h&quot;"/>
    <numFmt numFmtId="168" formatCode="0.0"/>
    <numFmt numFmtId="169" formatCode="0.000000"/>
    <numFmt numFmtId="170" formatCode="0%"/>
    <numFmt numFmtId="171" formatCode="yyyy\-mm\-dd\ hh:m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sz val="11"/>
      <color rgb="FFBFBFBF"/>
      <name val="Arial"/>
      <family val="0"/>
      <charset val="1"/>
    </font>
    <font>
      <b val="true"/>
      <sz val="11"/>
      <color rgb="FFF26200"/>
      <name val="Arial"/>
      <family val="0"/>
      <charset val="1"/>
    </font>
    <font>
      <b val="true"/>
      <sz val="9"/>
      <color rgb="FFA6A6A6"/>
      <name val="Arial"/>
      <family val="0"/>
      <charset val="1"/>
    </font>
    <font>
      <b val="true"/>
      <sz val="28"/>
      <color rgb="FFFF8A1F"/>
      <name val="Arial"/>
      <family val="0"/>
      <charset val="1"/>
    </font>
    <font>
      <sz val="9"/>
      <color rgb="FFD9D9D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1D1D"/>
        <bgColor rgb="FF171717"/>
      </patternFill>
    </fill>
    <fill>
      <patternFill patternType="solid">
        <fgColor rgb="FFFFF1E6"/>
        <bgColor rgb="FFFFFFFF"/>
      </patternFill>
    </fill>
    <fill>
      <patternFill patternType="solid">
        <fgColor rgb="FF171717"/>
        <bgColor rgb="FF1D1D1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1D1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1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A1F"/>
      <rgbColor rgb="FFF26200"/>
      <rgbColor rgb="FF666666"/>
      <rgbColor rgb="FFA6A6A6"/>
      <rgbColor rgb="FF003366"/>
      <rgbColor rgb="FF339966"/>
      <rgbColor rgb="FF171717"/>
      <rgbColor rgb="FF333300"/>
      <rgbColor rgb="FF993300"/>
      <rgbColor rgb="FF993366"/>
      <rgbColor rgb="FF333399"/>
      <rgbColor rgb="FF1D1D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per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26200"/>
            </a:solidFill>
            <a:ln w="9360">
              <a:solidFill>
                <a:srgbClr val="f26200"/>
              </a:solidFill>
              <a:round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Summary!$H$4:$H$8</c:f>
              <c:strCache>
                <c:ptCount val="5"/>
                <c:pt idx="0">
                  <c:v>Network</c:v>
                </c:pt>
                <c:pt idx="1">
                  <c:v>Hardware</c:v>
                </c:pt>
                <c:pt idx="2">
                  <c:v>Software</c:v>
                </c:pt>
                <c:pt idx="3">
                  <c:v>Account</c:v>
                </c:pt>
                <c:pt idx="4">
                  <c:v>Printer</c:v>
                </c:pt>
              </c:strCache>
            </c:strRef>
          </c:cat>
          <c:val>
            <c:numRef>
              <c:f>Summary!$I$4:$I$8</c:f>
              <c:numCache>
                <c:formatCode>General</c:formatCode>
                <c:ptCount val="5"/>
                <c:pt idx="0">
                  <c:v>38</c:v>
                </c:pt>
                <c:pt idx="1">
                  <c:v>27</c:v>
                </c:pt>
                <c:pt idx="2">
                  <c:v>24</c:v>
                </c:pt>
                <c:pt idx="3">
                  <c:v>19</c:v>
                </c:pt>
                <c:pt idx="4">
                  <c:v>12</c:v>
                </c:pt>
              </c:numCache>
            </c:numRef>
          </c:val>
        </c:ser>
        <c:gapWidth val="45"/>
        <c:overlap val="0"/>
        <c:axId val="18391840"/>
        <c:axId val="36196672"/>
      </c:barChart>
      <c:catAx>
        <c:axId val="183918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96672"/>
        <c:crosses val="autoZero"/>
        <c:auto val="1"/>
        <c:lblAlgn val="ctr"/>
        <c:lblOffset val="100"/>
        <c:noMultiLvlLbl val="0"/>
      </c:catAx>
      <c:valAx>
        <c:axId val="36196672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9184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hours to resolve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26200"/>
            </a:solidFill>
            <a:ln w="9360">
              <a:solidFill>
                <a:srgbClr val="f26200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Summary!$K$4:$K$8</c:f>
              <c:strCache>
                <c:ptCount val="5"/>
                <c:pt idx="0">
                  <c:v>Hardware</c:v>
                </c:pt>
                <c:pt idx="1">
                  <c:v>Network</c:v>
                </c:pt>
                <c:pt idx="2">
                  <c:v>Software</c:v>
                </c:pt>
                <c:pt idx="3">
                  <c:v>Printer</c:v>
                </c:pt>
                <c:pt idx="4">
                  <c:v>Account</c:v>
                </c:pt>
              </c:strCache>
            </c:strRef>
          </c:cat>
          <c:val>
            <c:numRef>
              <c:f>Summary!$L$4:$L$8</c:f>
              <c:numCache>
                <c:formatCode>0.0</c:formatCode>
                <c:ptCount val="5"/>
                <c:pt idx="0">
                  <c:v>8.59259259259259</c:v>
                </c:pt>
                <c:pt idx="1">
                  <c:v>5.21052631578947</c:v>
                </c:pt>
                <c:pt idx="2">
                  <c:v>4.08333333333333</c:v>
                </c:pt>
                <c:pt idx="3">
                  <c:v>3.41666666666667</c:v>
                </c:pt>
                <c:pt idx="4">
                  <c:v>1.78947368421053</c:v>
                </c:pt>
              </c:numCache>
            </c:numRef>
          </c:val>
        </c:ser>
        <c:gapWidth val="45"/>
        <c:overlap val="0"/>
        <c:axId val="44804450"/>
        <c:axId val="62193436"/>
      </c:barChart>
      <c:catAx>
        <c:axId val="4480445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93436"/>
        <c:crosses val="autoZero"/>
        <c:auto val="1"/>
        <c:lblAlgn val="ctr"/>
        <c:lblOffset val="100"/>
        <c:noMultiLvlLbl val="0"/>
      </c:catAx>
      <c:valAx>
        <c:axId val="62193436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0445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per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26200"/>
            </a:solidFill>
            <a:ln w="9360">
              <a:solidFill>
                <a:srgbClr val="f26200"/>
              </a:solidFill>
              <a:round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Summary!$C$12:$C$18</c:f>
              <c:numCache>
                <c:formatCode>General</c:formatCode>
                <c:ptCount val="7"/>
                <c:pt idx="0">
                  <c:v>29</c:v>
                </c:pt>
                <c:pt idx="1">
                  <c:v>24</c:v>
                </c:pt>
                <c:pt idx="2">
                  <c:v>21</c:v>
                </c:pt>
                <c:pt idx="3">
                  <c:v>19</c:v>
                </c:pt>
                <c:pt idx="4">
                  <c:v>17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</c:ser>
        <c:gapWidth val="45"/>
        <c:overlap val="0"/>
        <c:axId val="67754559"/>
        <c:axId val="46576230"/>
      </c:barChart>
      <c:catAx>
        <c:axId val="6775455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76230"/>
        <c:crosses val="autoZero"/>
        <c:auto val="1"/>
        <c:lblAlgn val="ctr"/>
        <c:lblOffset val="100"/>
        <c:noMultiLvlLbl val="0"/>
      </c:catAx>
      <c:valAx>
        <c:axId val="4657623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5455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12</xdr:col>
      <xdr:colOff>145440</xdr:colOff>
      <xdr:row>23</xdr:row>
      <xdr:rowOff>140400</xdr:rowOff>
    </xdr:to>
    <xdr:graphicFrame>
      <xdr:nvGraphicFramePr>
        <xdr:cNvPr id="0" name="Chart 1"/>
        <xdr:cNvGraphicFramePr/>
      </xdr:nvGraphicFramePr>
      <xdr:xfrm>
        <a:off x="141120" y="2647800"/>
        <a:ext cx="417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9</xdr:row>
      <xdr:rowOff>0</xdr:rowOff>
    </xdr:from>
    <xdr:to>
      <xdr:col>23</xdr:col>
      <xdr:colOff>145440</xdr:colOff>
      <xdr:row>23</xdr:row>
      <xdr:rowOff>140400</xdr:rowOff>
    </xdr:to>
    <xdr:graphicFrame>
      <xdr:nvGraphicFramePr>
        <xdr:cNvPr id="1" name="Chart 2"/>
        <xdr:cNvGraphicFramePr/>
      </xdr:nvGraphicFramePr>
      <xdr:xfrm>
        <a:off x="4171320" y="2647800"/>
        <a:ext cx="417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9</xdr:row>
      <xdr:rowOff>0</xdr:rowOff>
    </xdr:from>
    <xdr:to>
      <xdr:col>34</xdr:col>
      <xdr:colOff>145080</xdr:colOff>
      <xdr:row>23</xdr:row>
      <xdr:rowOff>140400</xdr:rowOff>
    </xdr:to>
    <xdr:graphicFrame>
      <xdr:nvGraphicFramePr>
        <xdr:cNvPr id="2" name="Chart 3"/>
        <xdr:cNvGraphicFramePr/>
      </xdr:nvGraphicFramePr>
      <xdr:xfrm>
        <a:off x="8201520" y="2647800"/>
        <a:ext cx="4175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5" min="2" style="0" width="5.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39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customFormat="false" ht="21.75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6" customFormat="false" ht="21.75" hidden="false" customHeight="true" outlineLevel="0" collapsed="false">
      <c r="B6" s="5" t="s">
        <v>3</v>
      </c>
      <c r="C6" s="5"/>
      <c r="D6" s="5"/>
      <c r="E6" s="5"/>
      <c r="F6" s="5"/>
      <c r="G6" s="5"/>
      <c r="H6" s="5"/>
      <c r="I6" s="5"/>
      <c r="J6" s="5" t="s">
        <v>4</v>
      </c>
      <c r="K6" s="5"/>
      <c r="L6" s="5"/>
      <c r="M6" s="5"/>
      <c r="N6" s="5"/>
      <c r="O6" s="5"/>
      <c r="P6" s="5"/>
      <c r="Q6" s="5"/>
      <c r="R6" s="5" t="s">
        <v>5</v>
      </c>
      <c r="S6" s="5"/>
      <c r="T6" s="5"/>
      <c r="U6" s="5"/>
      <c r="V6" s="5"/>
      <c r="W6" s="5"/>
      <c r="X6" s="5"/>
      <c r="Y6" s="5"/>
      <c r="Z6" s="5" t="s">
        <v>6</v>
      </c>
      <c r="AA6" s="5"/>
      <c r="AB6" s="5"/>
      <c r="AC6" s="5"/>
      <c r="AD6" s="5"/>
      <c r="AE6" s="5"/>
      <c r="AF6" s="5"/>
      <c r="AG6" s="5"/>
    </row>
    <row r="7" customFormat="false" ht="43.5" hidden="false" customHeight="true" outlineLevel="0" collapsed="false">
      <c r="B7" s="6" t="n">
        <f aca="false">Summary!I12</f>
        <v>120</v>
      </c>
      <c r="C7" s="6"/>
      <c r="D7" s="6"/>
      <c r="E7" s="6"/>
      <c r="F7" s="6"/>
      <c r="G7" s="6"/>
      <c r="H7" s="6"/>
      <c r="I7" s="6"/>
      <c r="J7" s="7" t="str">
        <f aca="false">Summary!I13</f>
        <v>Network</v>
      </c>
      <c r="K7" s="7"/>
      <c r="L7" s="7"/>
      <c r="M7" s="7"/>
      <c r="N7" s="7"/>
      <c r="O7" s="7"/>
      <c r="P7" s="7"/>
      <c r="Q7" s="7"/>
      <c r="R7" s="8" t="n">
        <f aca="false">Summary!I15</f>
        <v>5.025</v>
      </c>
      <c r="S7" s="8"/>
      <c r="T7" s="8"/>
      <c r="U7" s="8"/>
      <c r="V7" s="8"/>
      <c r="W7" s="8"/>
      <c r="X7" s="8"/>
      <c r="Y7" s="8"/>
      <c r="Z7" s="7" t="str">
        <f aca="false">Summary!I16</f>
        <v>Mon</v>
      </c>
      <c r="AA7" s="7"/>
      <c r="AB7" s="7"/>
      <c r="AC7" s="7"/>
      <c r="AD7" s="7"/>
      <c r="AE7" s="7"/>
      <c r="AF7" s="7"/>
      <c r="AG7" s="7"/>
    </row>
    <row r="8" customFormat="false" ht="21.75" hidden="false" customHeight="true" outlineLevel="0" collapsed="false">
      <c r="B8" s="9" t="s">
        <v>7</v>
      </c>
      <c r="C8" s="9"/>
      <c r="D8" s="9"/>
      <c r="E8" s="9"/>
      <c r="F8" s="9"/>
      <c r="G8" s="9"/>
      <c r="H8" s="9"/>
      <c r="I8" s="9"/>
      <c r="J8" s="9" t="str">
        <f aca="false">TEXT(Summary!I14,"0%")&amp;" of all tickets"</f>
        <v>32% of all tickets</v>
      </c>
      <c r="K8" s="9"/>
      <c r="L8" s="9"/>
      <c r="M8" s="9"/>
      <c r="N8" s="9"/>
      <c r="O8" s="9"/>
      <c r="P8" s="9"/>
      <c r="Q8" s="9"/>
      <c r="R8" s="9" t="s">
        <v>8</v>
      </c>
      <c r="S8" s="9"/>
      <c r="T8" s="9"/>
      <c r="U8" s="9"/>
      <c r="V8" s="9"/>
      <c r="W8" s="9"/>
      <c r="X8" s="9"/>
      <c r="Y8" s="9"/>
      <c r="Z8" s="9" t="str">
        <f aca="false">Summary!I17&amp;" tickets opened"</f>
        <v>29 tickets opened</v>
      </c>
      <c r="AA8" s="9"/>
      <c r="AB8" s="9"/>
      <c r="AC8" s="9"/>
      <c r="AD8" s="9"/>
      <c r="AE8" s="9"/>
      <c r="AF8" s="9"/>
      <c r="AG8" s="9"/>
    </row>
    <row r="27" customFormat="false" ht="15" hidden="false" customHeight="false" outlineLevel="0" collapsed="false">
      <c r="B27" s="10" t="s">
        <v>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</sheetData>
  <mergeCells count="16">
    <mergeCell ref="B2:AH2"/>
    <mergeCell ref="B3:AH3"/>
    <mergeCell ref="B4:AH4"/>
    <mergeCell ref="B6:I6"/>
    <mergeCell ref="J6:Q6"/>
    <mergeCell ref="R6:Y6"/>
    <mergeCell ref="Z6:AG6"/>
    <mergeCell ref="B7:I7"/>
    <mergeCell ref="J7:Q7"/>
    <mergeCell ref="R7:Y7"/>
    <mergeCell ref="Z7:AG7"/>
    <mergeCell ref="B8:I8"/>
    <mergeCell ref="J8:Q8"/>
    <mergeCell ref="R8:Y8"/>
    <mergeCell ref="Z8:AG8"/>
    <mergeCell ref="B27:A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5" hidden="false" customHeight="false" outlineLevel="0" collapsed="false">
      <c r="A2" s="13" t="s">
        <v>11</v>
      </c>
      <c r="B2" s="12"/>
      <c r="C2" s="12"/>
      <c r="D2" s="12"/>
      <c r="E2" s="12"/>
      <c r="F2" s="12"/>
      <c r="G2" s="12"/>
      <c r="H2" s="14" t="s">
        <v>12</v>
      </c>
      <c r="I2" s="12"/>
      <c r="J2" s="12"/>
      <c r="K2" s="12"/>
      <c r="L2" s="12"/>
    </row>
    <row r="3" customFormat="false" ht="26.85" hidden="false" customHeight="false" outlineLevel="0" collapsed="false">
      <c r="A3" s="15" t="s">
        <v>13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2"/>
      <c r="H3" s="15" t="s">
        <v>14</v>
      </c>
      <c r="I3" s="15" t="s">
        <v>15</v>
      </c>
      <c r="J3" s="12"/>
      <c r="K3" s="15" t="s">
        <v>14</v>
      </c>
      <c r="L3" s="15" t="s">
        <v>16</v>
      </c>
    </row>
    <row r="4" customFormat="false" ht="15" hidden="false" customHeight="false" outlineLevel="0" collapsed="false">
      <c r="A4" s="12" t="n">
        <f aca="false">Categories!A2</f>
        <v>1</v>
      </c>
      <c r="B4" s="12" t="str">
        <f aca="false">Categories!B2</f>
        <v>Network</v>
      </c>
      <c r="C4" s="12" t="n">
        <f aca="false">COUNTIF(Tickets!$E$2:$E$1000,A4)</f>
        <v>38</v>
      </c>
      <c r="D4" s="16" t="n">
        <f aca="false">IFERROR(AVERAGEIFS(Tickets!$K$2:$K$1000,Tickets!$E$2:$E$1000,A4),0)</f>
        <v>5.21052631578947</v>
      </c>
      <c r="E4" s="17" t="n">
        <f aca="false">C4+ROW()/1000000</f>
        <v>38.000004</v>
      </c>
      <c r="F4" s="17" t="n">
        <f aca="false">D4+ROW()/1000000</f>
        <v>5.21053031578947</v>
      </c>
      <c r="G4" s="12"/>
      <c r="H4" s="12" t="str">
        <f aca="false">INDEX($B$4:$B$8,MATCH(LARGE($E$4:$E$8,1),$E$4:$E$8,0))</f>
        <v>Network</v>
      </c>
      <c r="I4" s="12" t="n">
        <f aca="false">INDEX($C$4:$C$8,MATCH(LARGE($E$4:$E$8,1),$E$4:$E$8,0))</f>
        <v>38</v>
      </c>
      <c r="J4" s="12"/>
      <c r="K4" s="12" t="str">
        <f aca="false">INDEX($B$4:$B$8,MATCH(LARGE($F$4:$F$8,1),$F$4:$F$8,0))</f>
        <v>Hardware</v>
      </c>
      <c r="L4" s="16" t="n">
        <f aca="false">INDEX($D$4:$D$8,MATCH(LARGE($F$4:$F$8,1),$F$4:$F$8,0))</f>
        <v>8.59259259259259</v>
      </c>
    </row>
    <row r="5" customFormat="false" ht="15" hidden="false" customHeight="false" outlineLevel="0" collapsed="false">
      <c r="A5" s="12" t="n">
        <f aca="false">Categories!A3</f>
        <v>2</v>
      </c>
      <c r="B5" s="12" t="str">
        <f aca="false">Categories!B3</f>
        <v>Hardware</v>
      </c>
      <c r="C5" s="12" t="n">
        <f aca="false">COUNTIF(Tickets!$E$2:$E$1000,A5)</f>
        <v>27</v>
      </c>
      <c r="D5" s="16" t="n">
        <f aca="false">IFERROR(AVERAGEIFS(Tickets!$K$2:$K$1000,Tickets!$E$2:$E$1000,A5),0)</f>
        <v>8.59259259259259</v>
      </c>
      <c r="E5" s="17" t="n">
        <f aca="false">C5+ROW()/1000000</f>
        <v>27.000005</v>
      </c>
      <c r="F5" s="17" t="n">
        <f aca="false">D5+ROW()/1000000</f>
        <v>8.59259759259259</v>
      </c>
      <c r="G5" s="12"/>
      <c r="H5" s="12" t="str">
        <f aca="false">INDEX($B$4:$B$8,MATCH(LARGE($E$4:$E$8,2),$E$4:$E$8,0))</f>
        <v>Hardware</v>
      </c>
      <c r="I5" s="12" t="n">
        <f aca="false">INDEX($C$4:$C$8,MATCH(LARGE($E$4:$E$8,2),$E$4:$E$8,0))</f>
        <v>27</v>
      </c>
      <c r="J5" s="12"/>
      <c r="K5" s="12" t="str">
        <f aca="false">INDEX($B$4:$B$8,MATCH(LARGE($F$4:$F$8,2),$F$4:$F$8,0))</f>
        <v>Network</v>
      </c>
      <c r="L5" s="16" t="n">
        <f aca="false">INDEX($D$4:$D$8,MATCH(LARGE($F$4:$F$8,2),$F$4:$F$8,0))</f>
        <v>5.21052631578947</v>
      </c>
    </row>
    <row r="6" customFormat="false" ht="15" hidden="false" customHeight="false" outlineLevel="0" collapsed="false">
      <c r="A6" s="12" t="n">
        <f aca="false">Categories!A4</f>
        <v>3</v>
      </c>
      <c r="B6" s="12" t="str">
        <f aca="false">Categories!B4</f>
        <v>Software</v>
      </c>
      <c r="C6" s="12" t="n">
        <f aca="false">COUNTIF(Tickets!$E$2:$E$1000,A6)</f>
        <v>24</v>
      </c>
      <c r="D6" s="16" t="n">
        <f aca="false">IFERROR(AVERAGEIFS(Tickets!$K$2:$K$1000,Tickets!$E$2:$E$1000,A6),0)</f>
        <v>4.08333333333333</v>
      </c>
      <c r="E6" s="17" t="n">
        <f aca="false">C6+ROW()/1000000</f>
        <v>24.000006</v>
      </c>
      <c r="F6" s="17" t="n">
        <f aca="false">D6+ROW()/1000000</f>
        <v>4.08333933333333</v>
      </c>
      <c r="G6" s="12"/>
      <c r="H6" s="12" t="str">
        <f aca="false">INDEX($B$4:$B$8,MATCH(LARGE($E$4:$E$8,3),$E$4:$E$8,0))</f>
        <v>Software</v>
      </c>
      <c r="I6" s="12" t="n">
        <f aca="false">INDEX($C$4:$C$8,MATCH(LARGE($E$4:$E$8,3),$E$4:$E$8,0))</f>
        <v>24</v>
      </c>
      <c r="J6" s="12"/>
      <c r="K6" s="12" t="str">
        <f aca="false">INDEX($B$4:$B$8,MATCH(LARGE($F$4:$F$8,3),$F$4:$F$8,0))</f>
        <v>Software</v>
      </c>
      <c r="L6" s="16" t="n">
        <f aca="false">INDEX($D$4:$D$8,MATCH(LARGE($F$4:$F$8,3),$F$4:$F$8,0))</f>
        <v>4.08333333333333</v>
      </c>
    </row>
    <row r="7" customFormat="false" ht="15" hidden="false" customHeight="false" outlineLevel="0" collapsed="false">
      <c r="A7" s="12" t="n">
        <f aca="false">Categories!A5</f>
        <v>4</v>
      </c>
      <c r="B7" s="12" t="str">
        <f aca="false">Categories!B5</f>
        <v>Account</v>
      </c>
      <c r="C7" s="12" t="n">
        <f aca="false">COUNTIF(Tickets!$E$2:$E$1000,A7)</f>
        <v>19</v>
      </c>
      <c r="D7" s="16" t="n">
        <f aca="false">IFERROR(AVERAGEIFS(Tickets!$K$2:$K$1000,Tickets!$E$2:$E$1000,A7),0)</f>
        <v>1.78947368421053</v>
      </c>
      <c r="E7" s="17" t="n">
        <f aca="false">C7+ROW()/1000000</f>
        <v>19.000007</v>
      </c>
      <c r="F7" s="17" t="n">
        <f aca="false">D7+ROW()/1000000</f>
        <v>1.78948068421053</v>
      </c>
      <c r="G7" s="12"/>
      <c r="H7" s="12" t="str">
        <f aca="false">INDEX($B$4:$B$8,MATCH(LARGE($E$4:$E$8,4),$E$4:$E$8,0))</f>
        <v>Account</v>
      </c>
      <c r="I7" s="12" t="n">
        <f aca="false">INDEX($C$4:$C$8,MATCH(LARGE($E$4:$E$8,4),$E$4:$E$8,0))</f>
        <v>19</v>
      </c>
      <c r="J7" s="12"/>
      <c r="K7" s="12" t="str">
        <f aca="false">INDEX($B$4:$B$8,MATCH(LARGE($F$4:$F$8,4),$F$4:$F$8,0))</f>
        <v>Printer</v>
      </c>
      <c r="L7" s="16" t="n">
        <f aca="false">INDEX($D$4:$D$8,MATCH(LARGE($F$4:$F$8,4),$F$4:$F$8,0))</f>
        <v>3.41666666666667</v>
      </c>
    </row>
    <row r="8" customFormat="false" ht="15" hidden="false" customHeight="false" outlineLevel="0" collapsed="false">
      <c r="A8" s="12" t="n">
        <f aca="false">Categories!A6</f>
        <v>5</v>
      </c>
      <c r="B8" s="12" t="str">
        <f aca="false">Categories!B6</f>
        <v>Printer</v>
      </c>
      <c r="C8" s="12" t="n">
        <f aca="false">COUNTIF(Tickets!$E$2:$E$1000,A8)</f>
        <v>12</v>
      </c>
      <c r="D8" s="16" t="n">
        <f aca="false">IFERROR(AVERAGEIFS(Tickets!$K$2:$K$1000,Tickets!$E$2:$E$1000,A8),0)</f>
        <v>3.41666666666667</v>
      </c>
      <c r="E8" s="17" t="n">
        <f aca="false">C8+ROW()/1000000</f>
        <v>12.000008</v>
      </c>
      <c r="F8" s="17" t="n">
        <f aca="false">D8+ROW()/1000000</f>
        <v>3.41667466666667</v>
      </c>
      <c r="G8" s="12"/>
      <c r="H8" s="12" t="str">
        <f aca="false">INDEX($B$4:$B$8,MATCH(LARGE($E$4:$E$8,5),$E$4:$E$8,0))</f>
        <v>Printer</v>
      </c>
      <c r="I8" s="12" t="n">
        <f aca="false">INDEX($C$4:$C$8,MATCH(LARGE($E$4:$E$8,5),$E$4:$E$8,0))</f>
        <v>12</v>
      </c>
      <c r="J8" s="12"/>
      <c r="K8" s="12" t="str">
        <f aca="false">INDEX($B$4:$B$8,MATCH(LARGE($F$4:$F$8,5),$F$4:$F$8,0))</f>
        <v>Account</v>
      </c>
      <c r="L8" s="16" t="n">
        <f aca="false">INDEX($D$4:$D$8,MATCH(LARGE($F$4:$F$8,5),$F$4:$F$8,0))</f>
        <v>1.78947368421053</v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15" hidden="false" customHeight="false" outlineLevel="0" collapsed="false">
      <c r="A10" s="18" t="s">
        <v>19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customFormat="false" ht="15" hidden="false" customHeight="false" outlineLevel="0" collapsed="false">
      <c r="A11" s="15" t="s">
        <v>20</v>
      </c>
      <c r="B11" s="15" t="s">
        <v>21</v>
      </c>
      <c r="C11" s="15" t="s">
        <v>15</v>
      </c>
      <c r="D11" s="12"/>
      <c r="E11" s="12"/>
      <c r="F11" s="12"/>
      <c r="G11" s="12"/>
      <c r="H11" s="15" t="s">
        <v>22</v>
      </c>
      <c r="I11" s="15" t="s">
        <v>23</v>
      </c>
      <c r="J11" s="12"/>
      <c r="K11" s="12"/>
      <c r="L11" s="12"/>
    </row>
    <row r="12" customFormat="false" ht="15" hidden="false" customHeight="false" outlineLevel="0" collapsed="false">
      <c r="A12" s="12" t="s">
        <v>24</v>
      </c>
      <c r="B12" s="12" t="n">
        <v>1</v>
      </c>
      <c r="C12" s="12" t="n">
        <f aca="false">COUNTIF(Tickets!$L$2:$L$1000,A12)</f>
        <v>29</v>
      </c>
      <c r="D12" s="12"/>
      <c r="E12" s="12"/>
      <c r="F12" s="12"/>
      <c r="G12" s="12"/>
      <c r="H12" s="12" t="s">
        <v>25</v>
      </c>
      <c r="I12" s="12" t="n">
        <f aca="false">COUNT(Tickets!$A$2:$A$1000)</f>
        <v>120</v>
      </c>
      <c r="J12" s="12"/>
      <c r="K12" s="12"/>
      <c r="L12" s="12"/>
    </row>
    <row r="13" customFormat="false" ht="15" hidden="false" customHeight="false" outlineLevel="0" collapsed="false">
      <c r="A13" s="12" t="s">
        <v>26</v>
      </c>
      <c r="B13" s="12" t="n">
        <v>2</v>
      </c>
      <c r="C13" s="12" t="n">
        <f aca="false">COUNTIF(Tickets!$L$2:$L$1000,A13)</f>
        <v>24</v>
      </c>
      <c r="D13" s="12"/>
      <c r="E13" s="12"/>
      <c r="F13" s="12"/>
      <c r="G13" s="12"/>
      <c r="H13" s="12" t="s">
        <v>27</v>
      </c>
      <c r="I13" s="12" t="str">
        <f aca="false">H4</f>
        <v>Network</v>
      </c>
      <c r="J13" s="12"/>
      <c r="K13" s="12"/>
      <c r="L13" s="12"/>
    </row>
    <row r="14" customFormat="false" ht="15" hidden="false" customHeight="false" outlineLevel="0" collapsed="false">
      <c r="A14" s="12" t="s">
        <v>28</v>
      </c>
      <c r="B14" s="12" t="n">
        <v>3</v>
      </c>
      <c r="C14" s="12" t="n">
        <f aca="false">COUNTIF(Tickets!$L$2:$L$1000,A14)</f>
        <v>21</v>
      </c>
      <c r="D14" s="12"/>
      <c r="E14" s="12"/>
      <c r="F14" s="12"/>
      <c r="G14" s="12"/>
      <c r="H14" s="12" t="s">
        <v>29</v>
      </c>
      <c r="I14" s="19" t="n">
        <f aca="false">IFERROR(I4/I12,0)</f>
        <v>0.316666666666667</v>
      </c>
      <c r="J14" s="12"/>
      <c r="K14" s="12"/>
      <c r="L14" s="12"/>
    </row>
    <row r="15" customFormat="false" ht="15" hidden="false" customHeight="false" outlineLevel="0" collapsed="false">
      <c r="A15" s="12" t="s">
        <v>30</v>
      </c>
      <c r="B15" s="12" t="n">
        <v>4</v>
      </c>
      <c r="C15" s="12" t="n">
        <f aca="false">COUNTIF(Tickets!$L$2:$L$1000,A15)</f>
        <v>19</v>
      </c>
      <c r="D15" s="12"/>
      <c r="E15" s="12"/>
      <c r="F15" s="12"/>
      <c r="G15" s="12"/>
      <c r="H15" s="12" t="s">
        <v>31</v>
      </c>
      <c r="I15" s="16" t="n">
        <f aca="false">IFERROR(AVERAGE(Tickets!$K$2:$K$1000),0)</f>
        <v>5.025</v>
      </c>
      <c r="J15" s="12"/>
      <c r="K15" s="12"/>
      <c r="L15" s="12"/>
    </row>
    <row r="16" customFormat="false" ht="15" hidden="false" customHeight="false" outlineLevel="0" collapsed="false">
      <c r="A16" s="12" t="s">
        <v>32</v>
      </c>
      <c r="B16" s="12" t="n">
        <v>5</v>
      </c>
      <c r="C16" s="12" t="n">
        <f aca="false">COUNTIF(Tickets!$L$2:$L$1000,A16)</f>
        <v>17</v>
      </c>
      <c r="D16" s="12"/>
      <c r="E16" s="12"/>
      <c r="F16" s="12"/>
      <c r="G16" s="12"/>
      <c r="H16" s="12" t="s">
        <v>33</v>
      </c>
      <c r="I16" s="12" t="str">
        <f aca="false">INDEX($A$12:$A$18,MATCH(MAX($C$12:$C$18),$C$12:$C$18,0))</f>
        <v>Mon</v>
      </c>
      <c r="J16" s="12"/>
      <c r="K16" s="12"/>
      <c r="L16" s="12"/>
    </row>
    <row r="17" customFormat="false" ht="15" hidden="false" customHeight="false" outlineLevel="0" collapsed="false">
      <c r="A17" s="12" t="s">
        <v>34</v>
      </c>
      <c r="B17" s="12" t="n">
        <v>6</v>
      </c>
      <c r="C17" s="12" t="n">
        <f aca="false">COUNTIF(Tickets!$L$2:$L$1000,A17)</f>
        <v>6</v>
      </c>
      <c r="D17" s="12"/>
      <c r="E17" s="12"/>
      <c r="F17" s="12"/>
      <c r="G17" s="12"/>
      <c r="H17" s="12" t="s">
        <v>35</v>
      </c>
      <c r="I17" s="12" t="n">
        <f aca="false">MAX($C$12:$C$18)</f>
        <v>29</v>
      </c>
      <c r="J17" s="12"/>
      <c r="K17" s="12"/>
      <c r="L17" s="12"/>
    </row>
    <row r="18" customFormat="false" ht="15" hidden="false" customHeight="false" outlineLevel="0" collapsed="false">
      <c r="A18" s="12" t="s">
        <v>36</v>
      </c>
      <c r="B18" s="12" t="n">
        <v>7</v>
      </c>
      <c r="C18" s="12" t="n">
        <f aca="false">COUNTIF(Tickets!$L$2:$L$1000,A18)</f>
        <v>4</v>
      </c>
      <c r="D18" s="12"/>
      <c r="E18" s="12"/>
      <c r="F18" s="12"/>
      <c r="G18" s="12"/>
      <c r="H18" s="12"/>
      <c r="I18" s="12"/>
      <c r="J18" s="12"/>
      <c r="K18" s="12"/>
      <c r="L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customFormat="false" ht="15" hidden="false" customHeight="false" outlineLevel="0" collapsed="false">
      <c r="A20" s="18" t="s">
        <v>37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customFormat="false" ht="15" hidden="false" customHeight="false" outlineLevel="0" collapsed="false">
      <c r="A21" s="15" t="s">
        <v>38</v>
      </c>
      <c r="B21" s="15" t="s">
        <v>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false" outlineLevel="0" collapsed="false">
      <c r="A22" s="12" t="str">
        <f aca="false">Technicians!B2</f>
        <v>Technician A</v>
      </c>
      <c r="B22" s="12" t="n">
        <f aca="false">COUNTIF(Tickets!$I$2:$I$1000,Technicians!A2)</f>
        <v>30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customFormat="false" ht="15" hidden="false" customHeight="false" outlineLevel="0" collapsed="false">
      <c r="A23" s="12" t="str">
        <f aca="false">Technicians!B3</f>
        <v>Technician B</v>
      </c>
      <c r="B23" s="12" t="n">
        <f aca="false">COUNTIF(Tickets!$I$2:$I$1000,Technicians!A3)</f>
        <v>49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customFormat="false" ht="15" hidden="false" customHeight="false" outlineLevel="0" collapsed="false">
      <c r="A24" s="12" t="str">
        <f aca="false">Technicians!B4</f>
        <v>Technician C</v>
      </c>
      <c r="B24" s="12" t="n">
        <f aca="false">COUNTIF(Tickets!$I$2:$I$1000,Technicians!A4)</f>
        <v>41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5" t="s">
        <v>39</v>
      </c>
      <c r="B1" s="15" t="s">
        <v>40</v>
      </c>
      <c r="C1" s="15" t="s">
        <v>41</v>
      </c>
      <c r="D1" s="15" t="s">
        <v>42</v>
      </c>
      <c r="E1" s="15" t="s">
        <v>43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</row>
    <row r="2" customFormat="false" ht="15" hidden="false" customHeight="false" outlineLevel="0" collapsed="false">
      <c r="A2" s="20" t="n">
        <v>1</v>
      </c>
      <c r="B2" s="20" t="s">
        <v>51</v>
      </c>
      <c r="C2" s="21" t="n">
        <v>46237.5444444444</v>
      </c>
      <c r="D2" s="21" t="n">
        <v>46237.6694444444</v>
      </c>
      <c r="E2" s="20" t="n">
        <v>4</v>
      </c>
      <c r="F2" s="20" t="s">
        <v>52</v>
      </c>
      <c r="G2" s="20" t="s">
        <v>53</v>
      </c>
      <c r="H2" s="20" t="s">
        <v>54</v>
      </c>
      <c r="I2" s="20" t="n">
        <v>1</v>
      </c>
      <c r="J2" s="22" t="str">
        <f aca="false">IFERROR(INDEX(Categories!$B$2:$B$100,MATCH(E2,Categories!$A$2:$A$100,0)),"")</f>
        <v>Account</v>
      </c>
      <c r="K2" s="22" t="n">
        <f aca="false">IF(OR(C2="",D2=""),"",ROUND((D2-C2)*24,0))</f>
        <v>3</v>
      </c>
      <c r="L2" s="22" t="str">
        <f aca="false">IF(C2="","",CHOOSE(WEEKDAY(C2,2),"Mon","Tue","Wed","Thu","Fri","Sat","Sun"))</f>
        <v>Mon</v>
      </c>
    </row>
    <row r="3" customFormat="false" ht="15" hidden="false" customHeight="false" outlineLevel="0" collapsed="false">
      <c r="A3" s="20" t="n">
        <v>2</v>
      </c>
      <c r="B3" s="20" t="s">
        <v>55</v>
      </c>
      <c r="C3" s="21" t="n">
        <v>46237.6659722222</v>
      </c>
      <c r="D3" s="21" t="n">
        <v>46237.9993055556</v>
      </c>
      <c r="E3" s="20" t="n">
        <v>1</v>
      </c>
      <c r="F3" s="20" t="s">
        <v>52</v>
      </c>
      <c r="G3" s="20" t="s">
        <v>53</v>
      </c>
      <c r="H3" s="20" t="s">
        <v>56</v>
      </c>
      <c r="I3" s="20" t="n">
        <v>3</v>
      </c>
      <c r="J3" s="22" t="str">
        <f aca="false">IFERROR(INDEX(Categories!$B$2:$B$100,MATCH(E3,Categories!$A$2:$A$100,0)),"")</f>
        <v>Network</v>
      </c>
      <c r="K3" s="22" t="n">
        <f aca="false">IF(OR(C3="",D3=""),"",ROUND((D3-C3)*24,0))</f>
        <v>8</v>
      </c>
      <c r="L3" s="22" t="str">
        <f aca="false">IF(C3="","",CHOOSE(WEEKDAY(C3,2),"Mon","Tue","Wed","Thu","Fri","Sat","Sun"))</f>
        <v>Mon</v>
      </c>
    </row>
    <row r="4" customFormat="false" ht="15" hidden="false" customHeight="false" outlineLevel="0" collapsed="false">
      <c r="A4" s="20" t="n">
        <v>3</v>
      </c>
      <c r="B4" s="20" t="s">
        <v>57</v>
      </c>
      <c r="C4" s="21" t="n">
        <v>46237.6868055556</v>
      </c>
      <c r="D4" s="21" t="n">
        <v>46237.7284722222</v>
      </c>
      <c r="E4" s="20" t="n">
        <v>3</v>
      </c>
      <c r="F4" s="20" t="s">
        <v>58</v>
      </c>
      <c r="G4" s="20" t="s">
        <v>53</v>
      </c>
      <c r="H4" s="20" t="s">
        <v>56</v>
      </c>
      <c r="I4" s="20" t="n">
        <v>3</v>
      </c>
      <c r="J4" s="22" t="str">
        <f aca="false">IFERROR(INDEX(Categories!$B$2:$B$100,MATCH(E4,Categories!$A$2:$A$100,0)),"")</f>
        <v>Software</v>
      </c>
      <c r="K4" s="22" t="n">
        <f aca="false">IF(OR(C4="",D4=""),"",ROUND((D4-C4)*24,0))</f>
        <v>1</v>
      </c>
      <c r="L4" s="22" t="str">
        <f aca="false">IF(C4="","",CHOOSE(WEEKDAY(C4,2),"Mon","Tue","Wed","Thu","Fri","Sat","Sun"))</f>
        <v>Mon</v>
      </c>
    </row>
    <row r="5" customFormat="false" ht="15" hidden="false" customHeight="false" outlineLevel="0" collapsed="false">
      <c r="A5" s="20" t="n">
        <v>4</v>
      </c>
      <c r="B5" s="20" t="s">
        <v>59</v>
      </c>
      <c r="C5" s="21" t="n">
        <v>46238.3451388889</v>
      </c>
      <c r="D5" s="21" t="n">
        <v>46238.3868055556</v>
      </c>
      <c r="E5" s="20" t="n">
        <v>2</v>
      </c>
      <c r="F5" s="20" t="s">
        <v>58</v>
      </c>
      <c r="G5" s="20" t="s">
        <v>53</v>
      </c>
      <c r="H5" s="20" t="s">
        <v>56</v>
      </c>
      <c r="I5" s="20" t="n">
        <v>2</v>
      </c>
      <c r="J5" s="22" t="str">
        <f aca="false">IFERROR(INDEX(Categories!$B$2:$B$100,MATCH(E5,Categories!$A$2:$A$100,0)),"")</f>
        <v>Hardware</v>
      </c>
      <c r="K5" s="22" t="n">
        <f aca="false">IF(OR(C5="",D5=""),"",ROUND((D5-C5)*24,0))</f>
        <v>1</v>
      </c>
      <c r="L5" s="22" t="str">
        <f aca="false">IF(C5="","",CHOOSE(WEEKDAY(C5,2),"Mon","Tue","Wed","Thu","Fri","Sat","Sun"))</f>
        <v>Tue</v>
      </c>
    </row>
    <row r="6" customFormat="false" ht="15" hidden="false" customHeight="false" outlineLevel="0" collapsed="false">
      <c r="A6" s="20" t="n">
        <v>5</v>
      </c>
      <c r="B6" s="20" t="s">
        <v>60</v>
      </c>
      <c r="C6" s="21" t="n">
        <v>46238.4305555556</v>
      </c>
      <c r="D6" s="21" t="n">
        <v>46238.5972222222</v>
      </c>
      <c r="E6" s="20" t="n">
        <v>1</v>
      </c>
      <c r="F6" s="20" t="s">
        <v>58</v>
      </c>
      <c r="G6" s="20" t="s">
        <v>53</v>
      </c>
      <c r="H6" s="20" t="s">
        <v>61</v>
      </c>
      <c r="I6" s="20" t="n">
        <v>1</v>
      </c>
      <c r="J6" s="22" t="str">
        <f aca="false">IFERROR(INDEX(Categories!$B$2:$B$100,MATCH(E6,Categories!$A$2:$A$100,0)),"")</f>
        <v>Network</v>
      </c>
      <c r="K6" s="22" t="n">
        <f aca="false">IF(OR(C6="",D6=""),"",ROUND((D6-C6)*24,0))</f>
        <v>4</v>
      </c>
      <c r="L6" s="22" t="str">
        <f aca="false">IF(C6="","",CHOOSE(WEEKDAY(C6,2),"Mon","Tue","Wed","Thu","Fri","Sat","Sun"))</f>
        <v>Tue</v>
      </c>
    </row>
    <row r="7" customFormat="false" ht="15" hidden="false" customHeight="false" outlineLevel="0" collapsed="false">
      <c r="A7" s="20" t="n">
        <v>6</v>
      </c>
      <c r="B7" s="20" t="s">
        <v>59</v>
      </c>
      <c r="C7" s="21" t="n">
        <v>46238.4666666667</v>
      </c>
      <c r="D7" s="21" t="n">
        <v>46238.9666666667</v>
      </c>
      <c r="E7" s="20" t="n">
        <v>2</v>
      </c>
      <c r="F7" s="20" t="s">
        <v>52</v>
      </c>
      <c r="G7" s="20" t="s">
        <v>53</v>
      </c>
      <c r="H7" s="20" t="s">
        <v>54</v>
      </c>
      <c r="I7" s="20" t="n">
        <v>2</v>
      </c>
      <c r="J7" s="22" t="str">
        <f aca="false">IFERROR(INDEX(Categories!$B$2:$B$100,MATCH(E7,Categories!$A$2:$A$100,0)),"")</f>
        <v>Hardware</v>
      </c>
      <c r="K7" s="22" t="n">
        <f aca="false">IF(OR(C7="",D7=""),"",ROUND((D7-C7)*24,0))</f>
        <v>12</v>
      </c>
      <c r="L7" s="22" t="str">
        <f aca="false">IF(C7="","",CHOOSE(WEEKDAY(C7,2),"Mon","Tue","Wed","Thu","Fri","Sat","Sun"))</f>
        <v>Tue</v>
      </c>
    </row>
    <row r="8" customFormat="false" ht="15" hidden="false" customHeight="false" outlineLevel="0" collapsed="false">
      <c r="A8" s="20" t="n">
        <v>7</v>
      </c>
      <c r="B8" s="20" t="s">
        <v>62</v>
      </c>
      <c r="C8" s="21" t="n">
        <v>46239.4652777778</v>
      </c>
      <c r="D8" s="21" t="n">
        <v>46239.5486111111</v>
      </c>
      <c r="E8" s="20" t="n">
        <v>4</v>
      </c>
      <c r="F8" s="20" t="s">
        <v>63</v>
      </c>
      <c r="G8" s="20" t="s">
        <v>53</v>
      </c>
      <c r="H8" s="20" t="s">
        <v>54</v>
      </c>
      <c r="I8" s="20" t="n">
        <v>2</v>
      </c>
      <c r="J8" s="22" t="str">
        <f aca="false">IFERROR(INDEX(Categories!$B$2:$B$100,MATCH(E8,Categories!$A$2:$A$100,0)),"")</f>
        <v>Account</v>
      </c>
      <c r="K8" s="22" t="n">
        <f aca="false">IF(OR(C8="",D8=""),"",ROUND((D8-C8)*24,0))</f>
        <v>2</v>
      </c>
      <c r="L8" s="22" t="str">
        <f aca="false">IF(C8="","",CHOOSE(WEEKDAY(C8,2),"Mon","Tue","Wed","Thu","Fri","Sat","Sun"))</f>
        <v>Wed</v>
      </c>
    </row>
    <row r="9" customFormat="false" ht="15" hidden="false" customHeight="false" outlineLevel="0" collapsed="false">
      <c r="A9" s="20" t="n">
        <v>8</v>
      </c>
      <c r="B9" s="20" t="s">
        <v>57</v>
      </c>
      <c r="C9" s="21" t="n">
        <v>46240.3375</v>
      </c>
      <c r="D9" s="21" t="n">
        <v>46240.5458333333</v>
      </c>
      <c r="E9" s="20" t="n">
        <v>3</v>
      </c>
      <c r="F9" s="20" t="s">
        <v>52</v>
      </c>
      <c r="G9" s="20" t="s">
        <v>53</v>
      </c>
      <c r="H9" s="20" t="s">
        <v>64</v>
      </c>
      <c r="I9" s="20" t="n">
        <v>1</v>
      </c>
      <c r="J9" s="22" t="str">
        <f aca="false">IFERROR(INDEX(Categories!$B$2:$B$100,MATCH(E9,Categories!$A$2:$A$100,0)),"")</f>
        <v>Software</v>
      </c>
      <c r="K9" s="22" t="n">
        <f aca="false">IF(OR(C9="",D9=""),"",ROUND((D9-C9)*24,0))</f>
        <v>5</v>
      </c>
      <c r="L9" s="22" t="str">
        <f aca="false">IF(C9="","",CHOOSE(WEEKDAY(C9,2),"Mon","Tue","Wed","Thu","Fri","Sat","Sun"))</f>
        <v>Thu</v>
      </c>
    </row>
    <row r="10" customFormat="false" ht="15" hidden="false" customHeight="false" outlineLevel="0" collapsed="false">
      <c r="A10" s="20" t="n">
        <v>9</v>
      </c>
      <c r="B10" s="20" t="s">
        <v>65</v>
      </c>
      <c r="C10" s="21" t="n">
        <v>46243.4451388889</v>
      </c>
      <c r="D10" s="21" t="n">
        <v>46243.5284722222</v>
      </c>
      <c r="E10" s="20" t="n">
        <v>4</v>
      </c>
      <c r="F10" s="20" t="s">
        <v>58</v>
      </c>
      <c r="G10" s="20" t="s">
        <v>53</v>
      </c>
      <c r="H10" s="20" t="s">
        <v>61</v>
      </c>
      <c r="I10" s="20" t="n">
        <v>2</v>
      </c>
      <c r="J10" s="22" t="str">
        <f aca="false">IFERROR(INDEX(Categories!$B$2:$B$100,MATCH(E10,Categories!$A$2:$A$100,0)),"")</f>
        <v>Account</v>
      </c>
      <c r="K10" s="22" t="n">
        <f aca="false">IF(OR(C10="",D10=""),"",ROUND((D10-C10)*24,0))</f>
        <v>2</v>
      </c>
      <c r="L10" s="22" t="str">
        <f aca="false">IF(C10="","",CHOOSE(WEEKDAY(C10,2),"Mon","Tue","Wed","Thu","Fri","Sat","Sun"))</f>
        <v>Sun</v>
      </c>
    </row>
    <row r="11" customFormat="false" ht="15" hidden="false" customHeight="false" outlineLevel="0" collapsed="false">
      <c r="A11" s="20" t="n">
        <v>10</v>
      </c>
      <c r="B11" s="20" t="s">
        <v>66</v>
      </c>
      <c r="C11" s="21" t="n">
        <v>46244.4583333333</v>
      </c>
      <c r="D11" s="21" t="n">
        <v>46244.5416666667</v>
      </c>
      <c r="E11" s="20" t="n">
        <v>4</v>
      </c>
      <c r="F11" s="20" t="s">
        <v>63</v>
      </c>
      <c r="G11" s="20" t="s">
        <v>53</v>
      </c>
      <c r="H11" s="20" t="s">
        <v>54</v>
      </c>
      <c r="I11" s="20" t="n">
        <v>2</v>
      </c>
      <c r="J11" s="22" t="str">
        <f aca="false">IFERROR(INDEX(Categories!$B$2:$B$100,MATCH(E11,Categories!$A$2:$A$100,0)),"")</f>
        <v>Account</v>
      </c>
      <c r="K11" s="22" t="n">
        <f aca="false">IF(OR(C11="",D11=""),"",ROUND((D11-C11)*24,0))</f>
        <v>2</v>
      </c>
      <c r="L11" s="22" t="str">
        <f aca="false">IF(C11="","",CHOOSE(WEEKDAY(C11,2),"Mon","Tue","Wed","Thu","Fri","Sat","Sun"))</f>
        <v>Mon</v>
      </c>
    </row>
    <row r="12" customFormat="false" ht="15" hidden="false" customHeight="false" outlineLevel="0" collapsed="false">
      <c r="A12" s="20" t="n">
        <v>11</v>
      </c>
      <c r="B12" s="20" t="s">
        <v>67</v>
      </c>
      <c r="C12" s="21" t="n">
        <v>46244.5944444445</v>
      </c>
      <c r="D12" s="21" t="n">
        <v>46244.8861111111</v>
      </c>
      <c r="E12" s="20" t="n">
        <v>2</v>
      </c>
      <c r="F12" s="20" t="s">
        <v>58</v>
      </c>
      <c r="G12" s="20" t="s">
        <v>53</v>
      </c>
      <c r="H12" s="20" t="s">
        <v>64</v>
      </c>
      <c r="I12" s="20" t="n">
        <v>2</v>
      </c>
      <c r="J12" s="22" t="str">
        <f aca="false">IFERROR(INDEX(Categories!$B$2:$B$100,MATCH(E12,Categories!$A$2:$A$100,0)),"")</f>
        <v>Hardware</v>
      </c>
      <c r="K12" s="22" t="n">
        <f aca="false">IF(OR(C12="",D12=""),"",ROUND((D12-C12)*24,0))</f>
        <v>7</v>
      </c>
      <c r="L12" s="22" t="str">
        <f aca="false">IF(C12="","",CHOOSE(WEEKDAY(C12,2),"Mon","Tue","Wed","Thu","Fri","Sat","Sun"))</f>
        <v>Mon</v>
      </c>
    </row>
    <row r="13" customFormat="false" ht="15" hidden="false" customHeight="false" outlineLevel="0" collapsed="false">
      <c r="A13" s="20" t="n">
        <v>12</v>
      </c>
      <c r="B13" s="20" t="s">
        <v>68</v>
      </c>
      <c r="C13" s="21" t="n">
        <v>46244.6548611111</v>
      </c>
      <c r="D13" s="21" t="n">
        <v>46244.9881944444</v>
      </c>
      <c r="E13" s="20" t="n">
        <v>3</v>
      </c>
      <c r="F13" s="20" t="s">
        <v>58</v>
      </c>
      <c r="G13" s="20" t="s">
        <v>53</v>
      </c>
      <c r="H13" s="20" t="s">
        <v>56</v>
      </c>
      <c r="I13" s="20" t="n">
        <v>1</v>
      </c>
      <c r="J13" s="22" t="str">
        <f aca="false">IFERROR(INDEX(Categories!$B$2:$B$100,MATCH(E13,Categories!$A$2:$A$100,0)),"")</f>
        <v>Software</v>
      </c>
      <c r="K13" s="22" t="n">
        <f aca="false">IF(OR(C13="",D13=""),"",ROUND((D13-C13)*24,0))</f>
        <v>8</v>
      </c>
      <c r="L13" s="22" t="str">
        <f aca="false">IF(C13="","",CHOOSE(WEEKDAY(C13,2),"Mon","Tue","Wed","Thu","Fri","Sat","Sun"))</f>
        <v>Mon</v>
      </c>
    </row>
    <row r="14" customFormat="false" ht="15" hidden="false" customHeight="false" outlineLevel="0" collapsed="false">
      <c r="A14" s="20" t="n">
        <v>13</v>
      </c>
      <c r="B14" s="20" t="s">
        <v>69</v>
      </c>
      <c r="C14" s="21" t="n">
        <v>46245.3486111111</v>
      </c>
      <c r="D14" s="21" t="n">
        <v>46245.5152777778</v>
      </c>
      <c r="E14" s="20" t="n">
        <v>5</v>
      </c>
      <c r="F14" s="20" t="s">
        <v>52</v>
      </c>
      <c r="G14" s="20" t="s">
        <v>53</v>
      </c>
      <c r="H14" s="20" t="s">
        <v>54</v>
      </c>
      <c r="I14" s="20" t="n">
        <v>3</v>
      </c>
      <c r="J14" s="22" t="str">
        <f aca="false">IFERROR(INDEX(Categories!$B$2:$B$100,MATCH(E14,Categories!$A$2:$A$100,0)),"")</f>
        <v>Printer</v>
      </c>
      <c r="K14" s="22" t="n">
        <f aca="false">IF(OR(C14="",D14=""),"",ROUND((D14-C14)*24,0))</f>
        <v>4</v>
      </c>
      <c r="L14" s="22" t="str">
        <f aca="false">IF(C14="","",CHOOSE(WEEKDAY(C14,2),"Mon","Tue","Wed","Thu","Fri","Sat","Sun"))</f>
        <v>Tue</v>
      </c>
    </row>
    <row r="15" customFormat="false" ht="15" hidden="false" customHeight="false" outlineLevel="0" collapsed="false">
      <c r="A15" s="20" t="n">
        <v>14</v>
      </c>
      <c r="B15" s="20" t="s">
        <v>70</v>
      </c>
      <c r="C15" s="21" t="n">
        <v>46245.5125</v>
      </c>
      <c r="D15" s="21" t="n">
        <v>46245.5958333333</v>
      </c>
      <c r="E15" s="20" t="n">
        <v>2</v>
      </c>
      <c r="F15" s="20" t="s">
        <v>52</v>
      </c>
      <c r="G15" s="20" t="s">
        <v>53</v>
      </c>
      <c r="H15" s="20" t="s">
        <v>61</v>
      </c>
      <c r="I15" s="20" t="n">
        <v>1</v>
      </c>
      <c r="J15" s="22" t="str">
        <f aca="false">IFERROR(INDEX(Categories!$B$2:$B$100,MATCH(E15,Categories!$A$2:$A$100,0)),"")</f>
        <v>Hardware</v>
      </c>
      <c r="K15" s="22" t="n">
        <f aca="false">IF(OR(C15="",D15=""),"",ROUND((D15-C15)*24,0))</f>
        <v>2</v>
      </c>
      <c r="L15" s="22" t="str">
        <f aca="false">IF(C15="","",CHOOSE(WEEKDAY(C15,2),"Mon","Tue","Wed","Thu","Fri","Sat","Sun"))</f>
        <v>Tue</v>
      </c>
    </row>
    <row r="16" customFormat="false" ht="15" hidden="false" customHeight="false" outlineLevel="0" collapsed="false">
      <c r="A16" s="20" t="n">
        <v>15</v>
      </c>
      <c r="B16" s="20" t="s">
        <v>71</v>
      </c>
      <c r="C16" s="21" t="n">
        <v>46246.4166666667</v>
      </c>
      <c r="D16" s="21" t="n">
        <v>46246.4583333333</v>
      </c>
      <c r="E16" s="20" t="n">
        <v>4</v>
      </c>
      <c r="F16" s="20" t="s">
        <v>63</v>
      </c>
      <c r="G16" s="20" t="s">
        <v>53</v>
      </c>
      <c r="H16" s="20" t="s">
        <v>72</v>
      </c>
      <c r="I16" s="20" t="n">
        <v>3</v>
      </c>
      <c r="J16" s="22" t="str">
        <f aca="false">IFERROR(INDEX(Categories!$B$2:$B$100,MATCH(E16,Categories!$A$2:$A$100,0)),"")</f>
        <v>Account</v>
      </c>
      <c r="K16" s="22" t="n">
        <f aca="false">IF(OR(C16="",D16=""),"",ROUND((D16-C16)*24,0))</f>
        <v>1</v>
      </c>
      <c r="L16" s="22" t="str">
        <f aca="false">IF(C16="","",CHOOSE(WEEKDAY(C16,2),"Mon","Tue","Wed","Thu","Fri","Sat","Sun"))</f>
        <v>Wed</v>
      </c>
    </row>
    <row r="17" customFormat="false" ht="15" hidden="false" customHeight="false" outlineLevel="0" collapsed="false">
      <c r="A17" s="20" t="n">
        <v>16</v>
      </c>
      <c r="B17" s="20" t="s">
        <v>60</v>
      </c>
      <c r="C17" s="21" t="n">
        <v>46246.4451388889</v>
      </c>
      <c r="D17" s="21" t="n">
        <v>46246.5284722222</v>
      </c>
      <c r="E17" s="20" t="n">
        <v>1</v>
      </c>
      <c r="F17" s="20" t="s">
        <v>52</v>
      </c>
      <c r="G17" s="20" t="s">
        <v>53</v>
      </c>
      <c r="H17" s="20" t="s">
        <v>61</v>
      </c>
      <c r="I17" s="20" t="n">
        <v>2</v>
      </c>
      <c r="J17" s="22" t="str">
        <f aca="false">IFERROR(INDEX(Categories!$B$2:$B$100,MATCH(E17,Categories!$A$2:$A$100,0)),"")</f>
        <v>Network</v>
      </c>
      <c r="K17" s="22" t="n">
        <f aca="false">IF(OR(C17="",D17=""),"",ROUND((D17-C17)*24,0))</f>
        <v>2</v>
      </c>
      <c r="L17" s="22" t="str">
        <f aca="false">IF(C17="","",CHOOSE(WEEKDAY(C17,2),"Mon","Tue","Wed","Thu","Fri","Sat","Sun"))</f>
        <v>Wed</v>
      </c>
    </row>
    <row r="18" customFormat="false" ht="15" hidden="false" customHeight="false" outlineLevel="0" collapsed="false">
      <c r="A18" s="20" t="n">
        <v>17</v>
      </c>
      <c r="B18" s="20" t="s">
        <v>70</v>
      </c>
      <c r="C18" s="21" t="n">
        <v>46246.4486111111</v>
      </c>
      <c r="D18" s="21" t="n">
        <v>46246.9902777778</v>
      </c>
      <c r="E18" s="20" t="n">
        <v>2</v>
      </c>
      <c r="F18" s="20" t="s">
        <v>52</v>
      </c>
      <c r="G18" s="20" t="s">
        <v>53</v>
      </c>
      <c r="H18" s="20" t="s">
        <v>64</v>
      </c>
      <c r="I18" s="20" t="n">
        <v>2</v>
      </c>
      <c r="J18" s="22" t="str">
        <f aca="false">IFERROR(INDEX(Categories!$B$2:$B$100,MATCH(E18,Categories!$A$2:$A$100,0)),"")</f>
        <v>Hardware</v>
      </c>
      <c r="K18" s="22" t="n">
        <f aca="false">IF(OR(C18="",D18=""),"",ROUND((D18-C18)*24,0))</f>
        <v>13</v>
      </c>
      <c r="L18" s="22" t="str">
        <f aca="false">IF(C18="","",CHOOSE(WEEKDAY(C18,2),"Mon","Tue","Wed","Thu","Fri","Sat","Sun"))</f>
        <v>Wed</v>
      </c>
    </row>
    <row r="19" customFormat="false" ht="15" hidden="false" customHeight="false" outlineLevel="0" collapsed="false">
      <c r="A19" s="20" t="n">
        <v>18</v>
      </c>
      <c r="B19" s="20" t="s">
        <v>62</v>
      </c>
      <c r="C19" s="21" t="n">
        <v>46246.6493055556</v>
      </c>
      <c r="D19" s="21" t="n">
        <v>46246.6909722222</v>
      </c>
      <c r="E19" s="20" t="n">
        <v>4</v>
      </c>
      <c r="F19" s="20" t="s">
        <v>58</v>
      </c>
      <c r="G19" s="20" t="s">
        <v>53</v>
      </c>
      <c r="H19" s="20" t="s">
        <v>72</v>
      </c>
      <c r="I19" s="20" t="n">
        <v>3</v>
      </c>
      <c r="J19" s="22" t="str">
        <f aca="false">IFERROR(INDEX(Categories!$B$2:$B$100,MATCH(E19,Categories!$A$2:$A$100,0)),"")</f>
        <v>Account</v>
      </c>
      <c r="K19" s="22" t="n">
        <f aca="false">IF(OR(C19="",D19=""),"",ROUND((D19-C19)*24,0))</f>
        <v>1</v>
      </c>
      <c r="L19" s="22" t="str">
        <f aca="false">IF(C19="","",CHOOSE(WEEKDAY(C19,2),"Mon","Tue","Wed","Thu","Fri","Sat","Sun"))</f>
        <v>Wed</v>
      </c>
    </row>
    <row r="20" customFormat="false" ht="15" hidden="false" customHeight="false" outlineLevel="0" collapsed="false">
      <c r="A20" s="20" t="n">
        <v>19</v>
      </c>
      <c r="B20" s="20" t="s">
        <v>73</v>
      </c>
      <c r="C20" s="21" t="n">
        <v>46246.6715277778</v>
      </c>
      <c r="D20" s="21" t="n">
        <v>46246.7131944444</v>
      </c>
      <c r="E20" s="20" t="n">
        <v>1</v>
      </c>
      <c r="F20" s="20" t="s">
        <v>58</v>
      </c>
      <c r="G20" s="20" t="s">
        <v>53</v>
      </c>
      <c r="H20" s="20" t="s">
        <v>56</v>
      </c>
      <c r="I20" s="20" t="n">
        <v>2</v>
      </c>
      <c r="J20" s="22" t="str">
        <f aca="false">IFERROR(INDEX(Categories!$B$2:$B$100,MATCH(E20,Categories!$A$2:$A$100,0)),"")</f>
        <v>Network</v>
      </c>
      <c r="K20" s="22" t="n">
        <f aca="false">IF(OR(C20="",D20=""),"",ROUND((D20-C20)*24,0))</f>
        <v>1</v>
      </c>
      <c r="L20" s="22" t="str">
        <f aca="false">IF(C20="","",CHOOSE(WEEKDAY(C20,2),"Mon","Tue","Wed","Thu","Fri","Sat","Sun"))</f>
        <v>Wed</v>
      </c>
    </row>
    <row r="21" customFormat="false" ht="15" hidden="false" customHeight="false" outlineLevel="0" collapsed="false">
      <c r="A21" s="20" t="n">
        <v>20</v>
      </c>
      <c r="B21" s="20" t="s">
        <v>74</v>
      </c>
      <c r="C21" s="21" t="n">
        <v>46247.5868055556</v>
      </c>
      <c r="D21" s="21" t="n">
        <v>46247.7534722222</v>
      </c>
      <c r="E21" s="20" t="n">
        <v>5</v>
      </c>
      <c r="F21" s="20" t="s">
        <v>52</v>
      </c>
      <c r="G21" s="20" t="s">
        <v>53</v>
      </c>
      <c r="H21" s="20" t="s">
        <v>61</v>
      </c>
      <c r="I21" s="20" t="n">
        <v>1</v>
      </c>
      <c r="J21" s="22" t="str">
        <f aca="false">IFERROR(INDEX(Categories!$B$2:$B$100,MATCH(E21,Categories!$A$2:$A$100,0)),"")</f>
        <v>Printer</v>
      </c>
      <c r="K21" s="22" t="n">
        <f aca="false">IF(OR(C21="",D21=""),"",ROUND((D21-C21)*24,0))</f>
        <v>4</v>
      </c>
      <c r="L21" s="22" t="str">
        <f aca="false">IF(C21="","",CHOOSE(WEEKDAY(C21,2),"Mon","Tue","Wed","Thu","Fri","Sat","Sun"))</f>
        <v>Thu</v>
      </c>
    </row>
    <row r="22" customFormat="false" ht="15" hidden="false" customHeight="false" outlineLevel="0" collapsed="false">
      <c r="A22" s="20" t="n">
        <v>21</v>
      </c>
      <c r="B22" s="20" t="s">
        <v>55</v>
      </c>
      <c r="C22" s="21" t="n">
        <v>46247.6222222222</v>
      </c>
      <c r="D22" s="21" t="n">
        <v>46247.8722222222</v>
      </c>
      <c r="E22" s="20" t="n">
        <v>1</v>
      </c>
      <c r="F22" s="20" t="s">
        <v>58</v>
      </c>
      <c r="G22" s="20" t="s">
        <v>53</v>
      </c>
      <c r="H22" s="20" t="s">
        <v>54</v>
      </c>
      <c r="I22" s="20" t="n">
        <v>2</v>
      </c>
      <c r="J22" s="22" t="str">
        <f aca="false">IFERROR(INDEX(Categories!$B$2:$B$100,MATCH(E22,Categories!$A$2:$A$100,0)),"")</f>
        <v>Network</v>
      </c>
      <c r="K22" s="22" t="n">
        <f aca="false">IF(OR(C22="",D22=""),"",ROUND((D22-C22)*24,0))</f>
        <v>6</v>
      </c>
      <c r="L22" s="22" t="str">
        <f aca="false">IF(C22="","",CHOOSE(WEEKDAY(C22,2),"Mon","Tue","Wed","Thu","Fri","Sat","Sun"))</f>
        <v>Thu</v>
      </c>
    </row>
    <row r="23" customFormat="false" ht="15" hidden="false" customHeight="false" outlineLevel="0" collapsed="false">
      <c r="A23" s="20" t="n">
        <v>22</v>
      </c>
      <c r="B23" s="20" t="s">
        <v>75</v>
      </c>
      <c r="C23" s="21" t="n">
        <v>46251.5944444445</v>
      </c>
      <c r="D23" s="21" t="n">
        <v>46251.8861111111</v>
      </c>
      <c r="E23" s="20" t="n">
        <v>3</v>
      </c>
      <c r="F23" s="20" t="s">
        <v>52</v>
      </c>
      <c r="G23" s="20" t="s">
        <v>53</v>
      </c>
      <c r="H23" s="20" t="s">
        <v>64</v>
      </c>
      <c r="I23" s="20" t="n">
        <v>1</v>
      </c>
      <c r="J23" s="22" t="str">
        <f aca="false">IFERROR(INDEX(Categories!$B$2:$B$100,MATCH(E23,Categories!$A$2:$A$100,0)),"")</f>
        <v>Software</v>
      </c>
      <c r="K23" s="22" t="n">
        <f aca="false">IF(OR(C23="",D23=""),"",ROUND((D23-C23)*24,0))</f>
        <v>7</v>
      </c>
      <c r="L23" s="22" t="str">
        <f aca="false">IF(C23="","",CHOOSE(WEEKDAY(C23,2),"Mon","Tue","Wed","Thu","Fri","Sat","Sun"))</f>
        <v>Mon</v>
      </c>
    </row>
    <row r="24" customFormat="false" ht="15" hidden="false" customHeight="false" outlineLevel="0" collapsed="false">
      <c r="A24" s="20" t="n">
        <v>23</v>
      </c>
      <c r="B24" s="20" t="s">
        <v>55</v>
      </c>
      <c r="C24" s="21" t="n">
        <v>46251.6111111111</v>
      </c>
      <c r="D24" s="21" t="n">
        <v>46251.8611111111</v>
      </c>
      <c r="E24" s="20" t="n">
        <v>1</v>
      </c>
      <c r="F24" s="20" t="s">
        <v>52</v>
      </c>
      <c r="G24" s="20" t="s">
        <v>53</v>
      </c>
      <c r="H24" s="20" t="s">
        <v>54</v>
      </c>
      <c r="I24" s="20" t="n">
        <v>1</v>
      </c>
      <c r="J24" s="22" t="str">
        <f aca="false">IFERROR(INDEX(Categories!$B$2:$B$100,MATCH(E24,Categories!$A$2:$A$100,0)),"")</f>
        <v>Network</v>
      </c>
      <c r="K24" s="22" t="n">
        <f aca="false">IF(OR(C24="",D24=""),"",ROUND((D24-C24)*24,0))</f>
        <v>6</v>
      </c>
      <c r="L24" s="22" t="str">
        <f aca="false">IF(C24="","",CHOOSE(WEEKDAY(C24,2),"Mon","Tue","Wed","Thu","Fri","Sat","Sun"))</f>
        <v>Mon</v>
      </c>
    </row>
    <row r="25" customFormat="false" ht="15" hidden="false" customHeight="false" outlineLevel="0" collapsed="false">
      <c r="A25" s="20" t="n">
        <v>24</v>
      </c>
      <c r="B25" s="20" t="s">
        <v>76</v>
      </c>
      <c r="C25" s="21" t="n">
        <v>46251.6506944444</v>
      </c>
      <c r="D25" s="21" t="n">
        <v>46251.8590277778</v>
      </c>
      <c r="E25" s="20" t="n">
        <v>3</v>
      </c>
      <c r="F25" s="20" t="s">
        <v>52</v>
      </c>
      <c r="G25" s="20" t="s">
        <v>53</v>
      </c>
      <c r="H25" s="20" t="s">
        <v>56</v>
      </c>
      <c r="I25" s="20" t="n">
        <v>3</v>
      </c>
      <c r="J25" s="22" t="str">
        <f aca="false">IFERROR(INDEX(Categories!$B$2:$B$100,MATCH(E25,Categories!$A$2:$A$100,0)),"")</f>
        <v>Software</v>
      </c>
      <c r="K25" s="22" t="n">
        <f aca="false">IF(OR(C25="",D25=""),"",ROUND((D25-C25)*24,0))</f>
        <v>5</v>
      </c>
      <c r="L25" s="22" t="str">
        <f aca="false">IF(C25="","",CHOOSE(WEEKDAY(C25,2),"Mon","Tue","Wed","Thu","Fri","Sat","Sun"))</f>
        <v>Mon</v>
      </c>
    </row>
    <row r="26" customFormat="false" ht="15" hidden="false" customHeight="false" outlineLevel="0" collapsed="false">
      <c r="A26" s="20" t="n">
        <v>25</v>
      </c>
      <c r="B26" s="20" t="s">
        <v>77</v>
      </c>
      <c r="C26" s="21" t="n">
        <v>46251.6756944444</v>
      </c>
      <c r="D26" s="21" t="n">
        <v>46251.7173611111</v>
      </c>
      <c r="E26" s="20" t="n">
        <v>2</v>
      </c>
      <c r="F26" s="20" t="s">
        <v>58</v>
      </c>
      <c r="G26" s="20" t="s">
        <v>53</v>
      </c>
      <c r="H26" s="20" t="s">
        <v>72</v>
      </c>
      <c r="I26" s="20" t="n">
        <v>1</v>
      </c>
      <c r="J26" s="22" t="str">
        <f aca="false">IFERROR(INDEX(Categories!$B$2:$B$100,MATCH(E26,Categories!$A$2:$A$100,0)),"")</f>
        <v>Hardware</v>
      </c>
      <c r="K26" s="22" t="n">
        <f aca="false">IF(OR(C26="",D26=""),"",ROUND((D26-C26)*24,0))</f>
        <v>1</v>
      </c>
      <c r="L26" s="22" t="str">
        <f aca="false">IF(C26="","",CHOOSE(WEEKDAY(C26,2),"Mon","Tue","Wed","Thu","Fri","Sat","Sun"))</f>
        <v>Mon</v>
      </c>
    </row>
    <row r="27" customFormat="false" ht="15" hidden="false" customHeight="false" outlineLevel="0" collapsed="false">
      <c r="A27" s="20" t="n">
        <v>26</v>
      </c>
      <c r="B27" s="20" t="s">
        <v>60</v>
      </c>
      <c r="C27" s="21" t="n">
        <v>46251.6979166667</v>
      </c>
      <c r="D27" s="21" t="n">
        <v>46252.1145833333</v>
      </c>
      <c r="E27" s="20" t="n">
        <v>1</v>
      </c>
      <c r="F27" s="20" t="s">
        <v>63</v>
      </c>
      <c r="G27" s="20" t="s">
        <v>53</v>
      </c>
      <c r="H27" s="20" t="s">
        <v>56</v>
      </c>
      <c r="I27" s="20" t="n">
        <v>3</v>
      </c>
      <c r="J27" s="22" t="str">
        <f aca="false">IFERROR(INDEX(Categories!$B$2:$B$100,MATCH(E27,Categories!$A$2:$A$100,0)),"")</f>
        <v>Network</v>
      </c>
      <c r="K27" s="22" t="n">
        <f aca="false">IF(OR(C27="",D27=""),"",ROUND((D27-C27)*24,0))</f>
        <v>10</v>
      </c>
      <c r="L27" s="22" t="str">
        <f aca="false">IF(C27="","",CHOOSE(WEEKDAY(C27,2),"Mon","Tue","Wed","Thu","Fri","Sat","Sun"))</f>
        <v>Mon</v>
      </c>
    </row>
    <row r="28" customFormat="false" ht="15" hidden="false" customHeight="false" outlineLevel="0" collapsed="false">
      <c r="A28" s="20" t="n">
        <v>27</v>
      </c>
      <c r="B28" s="20" t="s">
        <v>60</v>
      </c>
      <c r="C28" s="21" t="n">
        <v>46252.6576388889</v>
      </c>
      <c r="D28" s="21" t="n">
        <v>46252.7409722222</v>
      </c>
      <c r="E28" s="20" t="n">
        <v>1</v>
      </c>
      <c r="F28" s="20" t="s">
        <v>58</v>
      </c>
      <c r="G28" s="20" t="s">
        <v>53</v>
      </c>
      <c r="H28" s="20" t="s">
        <v>72</v>
      </c>
      <c r="I28" s="20" t="n">
        <v>2</v>
      </c>
      <c r="J28" s="22" t="str">
        <f aca="false">IFERROR(INDEX(Categories!$B$2:$B$100,MATCH(E28,Categories!$A$2:$A$100,0)),"")</f>
        <v>Network</v>
      </c>
      <c r="K28" s="22" t="n">
        <f aca="false">IF(OR(C28="",D28=""),"",ROUND((D28-C28)*24,0))</f>
        <v>2</v>
      </c>
      <c r="L28" s="22" t="str">
        <f aca="false">IF(C28="","",CHOOSE(WEEKDAY(C28,2),"Mon","Tue","Wed","Thu","Fri","Sat","Sun"))</f>
        <v>Tue</v>
      </c>
    </row>
    <row r="29" customFormat="false" ht="15" hidden="false" customHeight="false" outlineLevel="0" collapsed="false">
      <c r="A29" s="20" t="n">
        <v>28</v>
      </c>
      <c r="B29" s="20" t="s">
        <v>55</v>
      </c>
      <c r="C29" s="21" t="n">
        <v>46252.6847222222</v>
      </c>
      <c r="D29" s="21" t="n">
        <v>46253.0180555556</v>
      </c>
      <c r="E29" s="20" t="n">
        <v>1</v>
      </c>
      <c r="F29" s="20" t="s">
        <v>52</v>
      </c>
      <c r="G29" s="20" t="s">
        <v>53</v>
      </c>
      <c r="H29" s="20" t="s">
        <v>54</v>
      </c>
      <c r="I29" s="20" t="n">
        <v>2</v>
      </c>
      <c r="J29" s="22" t="str">
        <f aca="false">IFERROR(INDEX(Categories!$B$2:$B$100,MATCH(E29,Categories!$A$2:$A$100,0)),"")</f>
        <v>Network</v>
      </c>
      <c r="K29" s="22" t="n">
        <f aca="false">IF(OR(C29="",D29=""),"",ROUND((D29-C29)*24,0))</f>
        <v>8</v>
      </c>
      <c r="L29" s="22" t="str">
        <f aca="false">IF(C29="","",CHOOSE(WEEKDAY(C29,2),"Mon","Tue","Wed","Thu","Fri","Sat","Sun"))</f>
        <v>Tue</v>
      </c>
    </row>
    <row r="30" customFormat="false" ht="15" hidden="false" customHeight="false" outlineLevel="0" collapsed="false">
      <c r="A30" s="20" t="n">
        <v>29</v>
      </c>
      <c r="B30" s="20" t="s">
        <v>78</v>
      </c>
      <c r="C30" s="21" t="n">
        <v>46253.5381944445</v>
      </c>
      <c r="D30" s="21" t="n">
        <v>46253.5798611111</v>
      </c>
      <c r="E30" s="20" t="n">
        <v>2</v>
      </c>
      <c r="F30" s="20" t="s">
        <v>58</v>
      </c>
      <c r="G30" s="20" t="s">
        <v>53</v>
      </c>
      <c r="H30" s="20" t="s">
        <v>61</v>
      </c>
      <c r="I30" s="20" t="n">
        <v>3</v>
      </c>
      <c r="J30" s="22" t="str">
        <f aca="false">IFERROR(INDEX(Categories!$B$2:$B$100,MATCH(E30,Categories!$A$2:$A$100,0)),"")</f>
        <v>Hardware</v>
      </c>
      <c r="K30" s="22" t="n">
        <f aca="false">IF(OR(C30="",D30=""),"",ROUND((D30-C30)*24,0))</f>
        <v>1</v>
      </c>
      <c r="L30" s="22" t="str">
        <f aca="false">IF(C30="","",CHOOSE(WEEKDAY(C30,2),"Mon","Tue","Wed","Thu","Fri","Sat","Sun"))</f>
        <v>Wed</v>
      </c>
    </row>
    <row r="31" customFormat="false" ht="15" hidden="false" customHeight="false" outlineLevel="0" collapsed="false">
      <c r="A31" s="20" t="n">
        <v>30</v>
      </c>
      <c r="B31" s="20" t="s">
        <v>76</v>
      </c>
      <c r="C31" s="21" t="n">
        <v>46253.6125</v>
      </c>
      <c r="D31" s="21" t="n">
        <v>46253.6958333333</v>
      </c>
      <c r="E31" s="20" t="n">
        <v>3</v>
      </c>
      <c r="F31" s="20" t="s">
        <v>58</v>
      </c>
      <c r="G31" s="20" t="s">
        <v>53</v>
      </c>
      <c r="H31" s="20" t="s">
        <v>72</v>
      </c>
      <c r="I31" s="20" t="n">
        <v>3</v>
      </c>
      <c r="J31" s="22" t="str">
        <f aca="false">IFERROR(INDEX(Categories!$B$2:$B$100,MATCH(E31,Categories!$A$2:$A$100,0)),"")</f>
        <v>Software</v>
      </c>
      <c r="K31" s="22" t="n">
        <f aca="false">IF(OR(C31="",D31=""),"",ROUND((D31-C31)*24,0))</f>
        <v>2</v>
      </c>
      <c r="L31" s="22" t="str">
        <f aca="false">IF(C31="","",CHOOSE(WEEKDAY(C31,2),"Mon","Tue","Wed","Thu","Fri","Sat","Sun"))</f>
        <v>Wed</v>
      </c>
    </row>
    <row r="32" customFormat="false" ht="15" hidden="false" customHeight="false" outlineLevel="0" collapsed="false">
      <c r="A32" s="20" t="n">
        <v>31</v>
      </c>
      <c r="B32" s="20" t="s">
        <v>67</v>
      </c>
      <c r="C32" s="21" t="n">
        <v>46253.6527777778</v>
      </c>
      <c r="D32" s="21" t="n">
        <v>46253.6944444445</v>
      </c>
      <c r="E32" s="20" t="n">
        <v>2</v>
      </c>
      <c r="F32" s="20" t="s">
        <v>58</v>
      </c>
      <c r="G32" s="20" t="s">
        <v>53</v>
      </c>
      <c r="H32" s="20" t="s">
        <v>56</v>
      </c>
      <c r="I32" s="20" t="n">
        <v>3</v>
      </c>
      <c r="J32" s="22" t="str">
        <f aca="false">IFERROR(INDEX(Categories!$B$2:$B$100,MATCH(E32,Categories!$A$2:$A$100,0)),"")</f>
        <v>Hardware</v>
      </c>
      <c r="K32" s="22" t="n">
        <f aca="false">IF(OR(C32="",D32=""),"",ROUND((D32-C32)*24,0))</f>
        <v>1</v>
      </c>
      <c r="L32" s="22" t="str">
        <f aca="false">IF(C32="","",CHOOSE(WEEKDAY(C32,2),"Mon","Tue","Wed","Thu","Fri","Sat","Sun"))</f>
        <v>Wed</v>
      </c>
    </row>
    <row r="33" customFormat="false" ht="15" hidden="false" customHeight="false" outlineLevel="0" collapsed="false">
      <c r="A33" s="20" t="n">
        <v>32</v>
      </c>
      <c r="B33" s="20" t="s">
        <v>67</v>
      </c>
      <c r="C33" s="21" t="n">
        <v>46253.675</v>
      </c>
      <c r="D33" s="21" t="n">
        <v>46254.0916666667</v>
      </c>
      <c r="E33" s="20" t="n">
        <v>2</v>
      </c>
      <c r="F33" s="20" t="s">
        <v>63</v>
      </c>
      <c r="G33" s="20" t="s">
        <v>53</v>
      </c>
      <c r="H33" s="20" t="s">
        <v>72</v>
      </c>
      <c r="I33" s="20" t="n">
        <v>3</v>
      </c>
      <c r="J33" s="22" t="str">
        <f aca="false">IFERROR(INDEX(Categories!$B$2:$B$100,MATCH(E33,Categories!$A$2:$A$100,0)),"")</f>
        <v>Hardware</v>
      </c>
      <c r="K33" s="22" t="n">
        <f aca="false">IF(OR(C33="",D33=""),"",ROUND((D33-C33)*24,0))</f>
        <v>10</v>
      </c>
      <c r="L33" s="22" t="str">
        <f aca="false">IF(C33="","",CHOOSE(WEEKDAY(C33,2),"Mon","Tue","Wed","Thu","Fri","Sat","Sun"))</f>
        <v>Wed</v>
      </c>
    </row>
    <row r="34" customFormat="false" ht="15" hidden="false" customHeight="false" outlineLevel="0" collapsed="false">
      <c r="A34" s="20" t="n">
        <v>33</v>
      </c>
      <c r="B34" s="20" t="s">
        <v>74</v>
      </c>
      <c r="C34" s="21" t="n">
        <v>46254.3451388889</v>
      </c>
      <c r="D34" s="21" t="n">
        <v>46254.4284722222</v>
      </c>
      <c r="E34" s="20" t="n">
        <v>5</v>
      </c>
      <c r="F34" s="20" t="s">
        <v>58</v>
      </c>
      <c r="G34" s="20" t="s">
        <v>53</v>
      </c>
      <c r="H34" s="20" t="s">
        <v>56</v>
      </c>
      <c r="I34" s="20" t="n">
        <v>2</v>
      </c>
      <c r="J34" s="22" t="str">
        <f aca="false">IFERROR(INDEX(Categories!$B$2:$B$100,MATCH(E34,Categories!$A$2:$A$100,0)),"")</f>
        <v>Printer</v>
      </c>
      <c r="K34" s="22" t="n">
        <f aca="false">IF(OR(C34="",D34=""),"",ROUND((D34-C34)*24,0))</f>
        <v>2</v>
      </c>
      <c r="L34" s="22" t="str">
        <f aca="false">IF(C34="","",CHOOSE(WEEKDAY(C34,2),"Mon","Tue","Wed","Thu","Fri","Sat","Sun"))</f>
        <v>Thu</v>
      </c>
    </row>
    <row r="35" customFormat="false" ht="15" hidden="false" customHeight="false" outlineLevel="0" collapsed="false">
      <c r="A35" s="20" t="n">
        <v>34</v>
      </c>
      <c r="B35" s="20" t="s">
        <v>79</v>
      </c>
      <c r="C35" s="21" t="n">
        <v>46254.3756944445</v>
      </c>
      <c r="D35" s="21" t="n">
        <v>46254.6673611111</v>
      </c>
      <c r="E35" s="20" t="n">
        <v>1</v>
      </c>
      <c r="F35" s="20" t="s">
        <v>58</v>
      </c>
      <c r="G35" s="20" t="s">
        <v>53</v>
      </c>
      <c r="H35" s="20" t="s">
        <v>61</v>
      </c>
      <c r="I35" s="20" t="n">
        <v>2</v>
      </c>
      <c r="J35" s="22" t="str">
        <f aca="false">IFERROR(INDEX(Categories!$B$2:$B$100,MATCH(E35,Categories!$A$2:$A$100,0)),"")</f>
        <v>Network</v>
      </c>
      <c r="K35" s="22" t="n">
        <f aca="false">IF(OR(C35="",D35=""),"",ROUND((D35-C35)*24,0))</f>
        <v>7</v>
      </c>
      <c r="L35" s="22" t="str">
        <f aca="false">IF(C35="","",CHOOSE(WEEKDAY(C35,2),"Mon","Tue","Wed","Thu","Fri","Sat","Sun"))</f>
        <v>Thu</v>
      </c>
    </row>
    <row r="36" customFormat="false" ht="15" hidden="false" customHeight="false" outlineLevel="0" collapsed="false">
      <c r="A36" s="20" t="n">
        <v>35</v>
      </c>
      <c r="B36" s="20" t="s">
        <v>65</v>
      </c>
      <c r="C36" s="21" t="n">
        <v>46254.5125</v>
      </c>
      <c r="D36" s="21" t="n">
        <v>46254.5541666667</v>
      </c>
      <c r="E36" s="20" t="n">
        <v>4</v>
      </c>
      <c r="F36" s="20" t="s">
        <v>58</v>
      </c>
      <c r="G36" s="20" t="s">
        <v>53</v>
      </c>
      <c r="H36" s="20" t="s">
        <v>61</v>
      </c>
      <c r="I36" s="20" t="n">
        <v>2</v>
      </c>
      <c r="J36" s="22" t="str">
        <f aca="false">IFERROR(INDEX(Categories!$B$2:$B$100,MATCH(E36,Categories!$A$2:$A$100,0)),"")</f>
        <v>Account</v>
      </c>
      <c r="K36" s="22" t="n">
        <f aca="false">IF(OR(C36="",D36=""),"",ROUND((D36-C36)*24,0))</f>
        <v>1</v>
      </c>
      <c r="L36" s="22" t="str">
        <f aca="false">IF(C36="","",CHOOSE(WEEKDAY(C36,2),"Mon","Tue","Wed","Thu","Fri","Sat","Sun"))</f>
        <v>Thu</v>
      </c>
    </row>
    <row r="37" customFormat="false" ht="15" hidden="false" customHeight="false" outlineLevel="0" collapsed="false">
      <c r="A37" s="20" t="n">
        <v>36</v>
      </c>
      <c r="B37" s="20" t="s">
        <v>68</v>
      </c>
      <c r="C37" s="21" t="n">
        <v>46254.6715277778</v>
      </c>
      <c r="D37" s="21" t="n">
        <v>46254.7131944444</v>
      </c>
      <c r="E37" s="20" t="n">
        <v>3</v>
      </c>
      <c r="F37" s="20" t="s">
        <v>58</v>
      </c>
      <c r="G37" s="20" t="s">
        <v>53</v>
      </c>
      <c r="H37" s="20" t="s">
        <v>54</v>
      </c>
      <c r="I37" s="20" t="n">
        <v>1</v>
      </c>
      <c r="J37" s="22" t="str">
        <f aca="false">IFERROR(INDEX(Categories!$B$2:$B$100,MATCH(E37,Categories!$A$2:$A$100,0)),"")</f>
        <v>Software</v>
      </c>
      <c r="K37" s="22" t="n">
        <f aca="false">IF(OR(C37="",D37=""),"",ROUND((D37-C37)*24,0))</f>
        <v>1</v>
      </c>
      <c r="L37" s="22" t="str">
        <f aca="false">IF(C37="","",CHOOSE(WEEKDAY(C37,2),"Mon","Tue","Wed","Thu","Fri","Sat","Sun"))</f>
        <v>Thu</v>
      </c>
    </row>
    <row r="38" customFormat="false" ht="15" hidden="false" customHeight="false" outlineLevel="0" collapsed="false">
      <c r="A38" s="20" t="n">
        <v>37</v>
      </c>
      <c r="B38" s="20" t="s">
        <v>80</v>
      </c>
      <c r="C38" s="21" t="n">
        <v>46255.5326388889</v>
      </c>
      <c r="D38" s="21" t="n">
        <v>46255.6993055556</v>
      </c>
      <c r="E38" s="20" t="n">
        <v>1</v>
      </c>
      <c r="F38" s="20" t="s">
        <v>58</v>
      </c>
      <c r="G38" s="20" t="s">
        <v>53</v>
      </c>
      <c r="H38" s="20" t="s">
        <v>64</v>
      </c>
      <c r="I38" s="20" t="n">
        <v>3</v>
      </c>
      <c r="J38" s="22" t="str">
        <f aca="false">IFERROR(INDEX(Categories!$B$2:$B$100,MATCH(E38,Categories!$A$2:$A$100,0)),"")</f>
        <v>Network</v>
      </c>
      <c r="K38" s="22" t="n">
        <f aca="false">IF(OR(C38="",D38=""),"",ROUND((D38-C38)*24,0))</f>
        <v>4</v>
      </c>
      <c r="L38" s="22" t="str">
        <f aca="false">IF(C38="","",CHOOSE(WEEKDAY(C38,2),"Mon","Tue","Wed","Thu","Fri","Sat","Sun"))</f>
        <v>Fri</v>
      </c>
    </row>
    <row r="39" customFormat="false" ht="15" hidden="false" customHeight="false" outlineLevel="0" collapsed="false">
      <c r="A39" s="20" t="n">
        <v>38</v>
      </c>
      <c r="B39" s="20" t="s">
        <v>66</v>
      </c>
      <c r="C39" s="21" t="n">
        <v>46255.6118055556</v>
      </c>
      <c r="D39" s="21" t="n">
        <v>46255.7368055556</v>
      </c>
      <c r="E39" s="20" t="n">
        <v>4</v>
      </c>
      <c r="F39" s="20" t="s">
        <v>58</v>
      </c>
      <c r="G39" s="20" t="s">
        <v>53</v>
      </c>
      <c r="H39" s="20" t="s">
        <v>61</v>
      </c>
      <c r="I39" s="20" t="n">
        <v>2</v>
      </c>
      <c r="J39" s="22" t="str">
        <f aca="false">IFERROR(INDEX(Categories!$B$2:$B$100,MATCH(E39,Categories!$A$2:$A$100,0)),"")</f>
        <v>Account</v>
      </c>
      <c r="K39" s="22" t="n">
        <f aca="false">IF(OR(C39="",D39=""),"",ROUND((D39-C39)*24,0))</f>
        <v>3</v>
      </c>
      <c r="L39" s="22" t="str">
        <f aca="false">IF(C39="","",CHOOSE(WEEKDAY(C39,2),"Mon","Tue","Wed","Thu","Fri","Sat","Sun"))</f>
        <v>Fri</v>
      </c>
    </row>
    <row r="40" customFormat="false" ht="15" hidden="false" customHeight="false" outlineLevel="0" collapsed="false">
      <c r="A40" s="20" t="n">
        <v>39</v>
      </c>
      <c r="B40" s="20" t="s">
        <v>67</v>
      </c>
      <c r="C40" s="21" t="n">
        <v>46257.5173611111</v>
      </c>
      <c r="D40" s="21" t="n">
        <v>46258.1006944445</v>
      </c>
      <c r="E40" s="20" t="n">
        <v>2</v>
      </c>
      <c r="F40" s="20" t="s">
        <v>63</v>
      </c>
      <c r="G40" s="20" t="s">
        <v>53</v>
      </c>
      <c r="H40" s="20" t="s">
        <v>72</v>
      </c>
      <c r="I40" s="20" t="n">
        <v>2</v>
      </c>
      <c r="J40" s="22" t="str">
        <f aca="false">IFERROR(INDEX(Categories!$B$2:$B$100,MATCH(E40,Categories!$A$2:$A$100,0)),"")</f>
        <v>Hardware</v>
      </c>
      <c r="K40" s="22" t="n">
        <f aca="false">IF(OR(C40="",D40=""),"",ROUND((D40-C40)*24,0))</f>
        <v>14</v>
      </c>
      <c r="L40" s="22" t="str">
        <f aca="false">IF(C40="","",CHOOSE(WEEKDAY(C40,2),"Mon","Tue","Wed","Thu","Fri","Sat","Sun"))</f>
        <v>Sun</v>
      </c>
    </row>
    <row r="41" customFormat="false" ht="15" hidden="false" customHeight="false" outlineLevel="0" collapsed="false">
      <c r="A41" s="20" t="n">
        <v>40</v>
      </c>
      <c r="B41" s="20" t="s">
        <v>67</v>
      </c>
      <c r="C41" s="21" t="n">
        <v>46257.5201388889</v>
      </c>
      <c r="D41" s="21" t="n">
        <v>46257.8534722222</v>
      </c>
      <c r="E41" s="20" t="n">
        <v>2</v>
      </c>
      <c r="F41" s="20" t="s">
        <v>63</v>
      </c>
      <c r="G41" s="20" t="s">
        <v>53</v>
      </c>
      <c r="H41" s="20" t="s">
        <v>54</v>
      </c>
      <c r="I41" s="20" t="n">
        <v>2</v>
      </c>
      <c r="J41" s="22" t="str">
        <f aca="false">IFERROR(INDEX(Categories!$B$2:$B$100,MATCH(E41,Categories!$A$2:$A$100,0)),"")</f>
        <v>Hardware</v>
      </c>
      <c r="K41" s="22" t="n">
        <f aca="false">IF(OR(C41="",D41=""),"",ROUND((D41-C41)*24,0))</f>
        <v>8</v>
      </c>
      <c r="L41" s="22" t="str">
        <f aca="false">IF(C41="","",CHOOSE(WEEKDAY(C41,2),"Mon","Tue","Wed","Thu","Fri","Sat","Sun"))</f>
        <v>Sun</v>
      </c>
    </row>
    <row r="42" customFormat="false" ht="15" hidden="false" customHeight="false" outlineLevel="0" collapsed="false">
      <c r="A42" s="20" t="n">
        <v>41</v>
      </c>
      <c r="B42" s="20" t="s">
        <v>65</v>
      </c>
      <c r="C42" s="21" t="n">
        <v>46258.3534722222</v>
      </c>
      <c r="D42" s="21" t="n">
        <v>46258.4368055556</v>
      </c>
      <c r="E42" s="20" t="n">
        <v>4</v>
      </c>
      <c r="F42" s="20" t="s">
        <v>52</v>
      </c>
      <c r="G42" s="20" t="s">
        <v>53</v>
      </c>
      <c r="H42" s="20" t="s">
        <v>54</v>
      </c>
      <c r="I42" s="20" t="n">
        <v>3</v>
      </c>
      <c r="J42" s="22" t="str">
        <f aca="false">IFERROR(INDEX(Categories!$B$2:$B$100,MATCH(E42,Categories!$A$2:$A$100,0)),"")</f>
        <v>Account</v>
      </c>
      <c r="K42" s="22" t="n">
        <f aca="false">IF(OR(C42="",D42=""),"",ROUND((D42-C42)*24,0))</f>
        <v>2</v>
      </c>
      <c r="L42" s="22" t="str">
        <f aca="false">IF(C42="","",CHOOSE(WEEKDAY(C42,2),"Mon","Tue","Wed","Thu","Fri","Sat","Sun"))</f>
        <v>Mon</v>
      </c>
    </row>
    <row r="43" customFormat="false" ht="15" hidden="false" customHeight="false" outlineLevel="0" collapsed="false">
      <c r="A43" s="20" t="n">
        <v>42</v>
      </c>
      <c r="B43" s="20" t="s">
        <v>77</v>
      </c>
      <c r="C43" s="21" t="n">
        <v>46258.4041666667</v>
      </c>
      <c r="D43" s="21" t="n">
        <v>46258.5708333333</v>
      </c>
      <c r="E43" s="20" t="n">
        <v>2</v>
      </c>
      <c r="F43" s="20" t="s">
        <v>63</v>
      </c>
      <c r="G43" s="20" t="s">
        <v>53</v>
      </c>
      <c r="H43" s="20" t="s">
        <v>64</v>
      </c>
      <c r="I43" s="20" t="n">
        <v>1</v>
      </c>
      <c r="J43" s="22" t="str">
        <f aca="false">IFERROR(INDEX(Categories!$B$2:$B$100,MATCH(E43,Categories!$A$2:$A$100,0)),"")</f>
        <v>Hardware</v>
      </c>
      <c r="K43" s="22" t="n">
        <f aca="false">IF(OR(C43="",D43=""),"",ROUND((D43-C43)*24,0))</f>
        <v>4</v>
      </c>
      <c r="L43" s="22" t="str">
        <f aca="false">IF(C43="","",CHOOSE(WEEKDAY(C43,2),"Mon","Tue","Wed","Thu","Fri","Sat","Sun"))</f>
        <v>Mon</v>
      </c>
    </row>
    <row r="44" customFormat="false" ht="15" hidden="false" customHeight="false" outlineLevel="0" collapsed="false">
      <c r="A44" s="20" t="n">
        <v>43</v>
      </c>
      <c r="B44" s="20" t="s">
        <v>68</v>
      </c>
      <c r="C44" s="21" t="n">
        <v>46258.6340277778</v>
      </c>
      <c r="D44" s="21" t="n">
        <v>46258.9256944444</v>
      </c>
      <c r="E44" s="20" t="n">
        <v>3</v>
      </c>
      <c r="F44" s="20" t="s">
        <v>58</v>
      </c>
      <c r="G44" s="20" t="s">
        <v>53</v>
      </c>
      <c r="H44" s="20" t="s">
        <v>64</v>
      </c>
      <c r="I44" s="20" t="n">
        <v>1</v>
      </c>
      <c r="J44" s="22" t="str">
        <f aca="false">IFERROR(INDEX(Categories!$B$2:$B$100,MATCH(E44,Categories!$A$2:$A$100,0)),"")</f>
        <v>Software</v>
      </c>
      <c r="K44" s="22" t="n">
        <f aca="false">IF(OR(C44="",D44=""),"",ROUND((D44-C44)*24,0))</f>
        <v>7</v>
      </c>
      <c r="L44" s="22" t="str">
        <f aca="false">IF(C44="","",CHOOSE(WEEKDAY(C44,2),"Mon","Tue","Wed","Thu","Fri","Sat","Sun"))</f>
        <v>Mon</v>
      </c>
    </row>
    <row r="45" customFormat="false" ht="15" hidden="false" customHeight="false" outlineLevel="0" collapsed="false">
      <c r="A45" s="20" t="n">
        <v>44</v>
      </c>
      <c r="B45" s="20" t="s">
        <v>57</v>
      </c>
      <c r="C45" s="21" t="n">
        <v>46258.6472222222</v>
      </c>
      <c r="D45" s="21" t="n">
        <v>46258.7305555556</v>
      </c>
      <c r="E45" s="20" t="n">
        <v>3</v>
      </c>
      <c r="F45" s="20" t="s">
        <v>52</v>
      </c>
      <c r="G45" s="20" t="s">
        <v>53</v>
      </c>
      <c r="H45" s="20" t="s">
        <v>61</v>
      </c>
      <c r="I45" s="20" t="n">
        <v>3</v>
      </c>
      <c r="J45" s="22" t="str">
        <f aca="false">IFERROR(INDEX(Categories!$B$2:$B$100,MATCH(E45,Categories!$A$2:$A$100,0)),"")</f>
        <v>Software</v>
      </c>
      <c r="K45" s="22" t="n">
        <f aca="false">IF(OR(C45="",D45=""),"",ROUND((D45-C45)*24,0))</f>
        <v>2</v>
      </c>
      <c r="L45" s="22" t="str">
        <f aca="false">IF(C45="","",CHOOSE(WEEKDAY(C45,2),"Mon","Tue","Wed","Thu","Fri","Sat","Sun"))</f>
        <v>Mon</v>
      </c>
    </row>
    <row r="46" customFormat="false" ht="15" hidden="false" customHeight="false" outlineLevel="0" collapsed="false">
      <c r="A46" s="20" t="n">
        <v>45</v>
      </c>
      <c r="B46" s="20" t="s">
        <v>73</v>
      </c>
      <c r="C46" s="21" t="n">
        <v>46258.6611111111</v>
      </c>
      <c r="D46" s="21" t="n">
        <v>46258.7027777778</v>
      </c>
      <c r="E46" s="20" t="n">
        <v>1</v>
      </c>
      <c r="F46" s="20" t="s">
        <v>52</v>
      </c>
      <c r="G46" s="20" t="s">
        <v>53</v>
      </c>
      <c r="H46" s="20" t="s">
        <v>56</v>
      </c>
      <c r="I46" s="20" t="n">
        <v>3</v>
      </c>
      <c r="J46" s="22" t="str">
        <f aca="false">IFERROR(INDEX(Categories!$B$2:$B$100,MATCH(E46,Categories!$A$2:$A$100,0)),"")</f>
        <v>Network</v>
      </c>
      <c r="K46" s="22" t="n">
        <f aca="false">IF(OR(C46="",D46=""),"",ROUND((D46-C46)*24,0))</f>
        <v>1</v>
      </c>
      <c r="L46" s="22" t="str">
        <f aca="false">IF(C46="","",CHOOSE(WEEKDAY(C46,2),"Mon","Tue","Wed","Thu","Fri","Sat","Sun"))</f>
        <v>Mon</v>
      </c>
    </row>
    <row r="47" customFormat="false" ht="15" hidden="false" customHeight="false" outlineLevel="0" collapsed="false">
      <c r="A47" s="20" t="n">
        <v>46</v>
      </c>
      <c r="B47" s="20" t="s">
        <v>71</v>
      </c>
      <c r="C47" s="21" t="n">
        <v>46259.5423611111</v>
      </c>
      <c r="D47" s="21" t="n">
        <v>46259.6256944445</v>
      </c>
      <c r="E47" s="20" t="n">
        <v>4</v>
      </c>
      <c r="F47" s="20" t="s">
        <v>58</v>
      </c>
      <c r="G47" s="20" t="s">
        <v>53</v>
      </c>
      <c r="H47" s="20" t="s">
        <v>61</v>
      </c>
      <c r="I47" s="20" t="n">
        <v>1</v>
      </c>
      <c r="J47" s="22" t="str">
        <f aca="false">IFERROR(INDEX(Categories!$B$2:$B$100,MATCH(E47,Categories!$A$2:$A$100,0)),"")</f>
        <v>Account</v>
      </c>
      <c r="K47" s="22" t="n">
        <f aca="false">IF(OR(C47="",D47=""),"",ROUND((D47-C47)*24,0))</f>
        <v>2</v>
      </c>
      <c r="L47" s="22" t="str">
        <f aca="false">IF(C47="","",CHOOSE(WEEKDAY(C47,2),"Mon","Tue","Wed","Thu","Fri","Sat","Sun"))</f>
        <v>Tue</v>
      </c>
    </row>
    <row r="48" customFormat="false" ht="15" hidden="false" customHeight="false" outlineLevel="0" collapsed="false">
      <c r="A48" s="20" t="n">
        <v>47</v>
      </c>
      <c r="B48" s="20" t="s">
        <v>67</v>
      </c>
      <c r="C48" s="21" t="n">
        <v>46259.5548611111</v>
      </c>
      <c r="D48" s="21" t="n">
        <v>46260.0131944444</v>
      </c>
      <c r="E48" s="20" t="n">
        <v>2</v>
      </c>
      <c r="F48" s="20" t="s">
        <v>63</v>
      </c>
      <c r="G48" s="20" t="s">
        <v>53</v>
      </c>
      <c r="H48" s="20" t="s">
        <v>61</v>
      </c>
      <c r="I48" s="20" t="n">
        <v>2</v>
      </c>
      <c r="J48" s="22" t="str">
        <f aca="false">IFERROR(INDEX(Categories!$B$2:$B$100,MATCH(E48,Categories!$A$2:$A$100,0)),"")</f>
        <v>Hardware</v>
      </c>
      <c r="K48" s="22" t="n">
        <f aca="false">IF(OR(C48="",D48=""),"",ROUND((D48-C48)*24,0))</f>
        <v>11</v>
      </c>
      <c r="L48" s="22" t="str">
        <f aca="false">IF(C48="","",CHOOSE(WEEKDAY(C48,2),"Mon","Tue","Wed","Thu","Fri","Sat","Sun"))</f>
        <v>Tue</v>
      </c>
    </row>
    <row r="49" customFormat="false" ht="15" hidden="false" customHeight="false" outlineLevel="0" collapsed="false">
      <c r="A49" s="20" t="n">
        <v>48</v>
      </c>
      <c r="B49" s="20" t="s">
        <v>81</v>
      </c>
      <c r="C49" s="21" t="n">
        <v>46259.5986111111</v>
      </c>
      <c r="D49" s="21" t="n">
        <v>46259.7652777778</v>
      </c>
      <c r="E49" s="20" t="n">
        <v>3</v>
      </c>
      <c r="F49" s="20" t="s">
        <v>58</v>
      </c>
      <c r="G49" s="20" t="s">
        <v>53</v>
      </c>
      <c r="H49" s="20" t="s">
        <v>72</v>
      </c>
      <c r="I49" s="20" t="n">
        <v>3</v>
      </c>
      <c r="J49" s="22" t="str">
        <f aca="false">IFERROR(INDEX(Categories!$B$2:$B$100,MATCH(E49,Categories!$A$2:$A$100,0)),"")</f>
        <v>Software</v>
      </c>
      <c r="K49" s="22" t="n">
        <f aca="false">IF(OR(C49="",D49=""),"",ROUND((D49-C49)*24,0))</f>
        <v>4</v>
      </c>
      <c r="L49" s="22" t="str">
        <f aca="false">IF(C49="","",CHOOSE(WEEKDAY(C49,2),"Mon","Tue","Wed","Thu","Fri","Sat","Sun"))</f>
        <v>Tue</v>
      </c>
    </row>
    <row r="50" customFormat="false" ht="15" hidden="false" customHeight="false" outlineLevel="0" collapsed="false">
      <c r="A50" s="20" t="n">
        <v>49</v>
      </c>
      <c r="B50" s="20" t="s">
        <v>73</v>
      </c>
      <c r="C50" s="21" t="n">
        <v>46259.7</v>
      </c>
      <c r="D50" s="21" t="n">
        <v>46260.0333333333</v>
      </c>
      <c r="E50" s="20" t="n">
        <v>1</v>
      </c>
      <c r="F50" s="20" t="s">
        <v>52</v>
      </c>
      <c r="G50" s="20" t="s">
        <v>53</v>
      </c>
      <c r="H50" s="20" t="s">
        <v>56</v>
      </c>
      <c r="I50" s="20" t="n">
        <v>2</v>
      </c>
      <c r="J50" s="22" t="str">
        <f aca="false">IFERROR(INDEX(Categories!$B$2:$B$100,MATCH(E50,Categories!$A$2:$A$100,0)),"")</f>
        <v>Network</v>
      </c>
      <c r="K50" s="22" t="n">
        <f aca="false">IF(OR(C50="",D50=""),"",ROUND((D50-C50)*24,0))</f>
        <v>8</v>
      </c>
      <c r="L50" s="22" t="str">
        <f aca="false">IF(C50="","",CHOOSE(WEEKDAY(C50,2),"Mon","Tue","Wed","Thu","Fri","Sat","Sun"))</f>
        <v>Tue</v>
      </c>
    </row>
    <row r="51" customFormat="false" ht="15" hidden="false" customHeight="false" outlineLevel="0" collapsed="false">
      <c r="A51" s="20" t="n">
        <v>50</v>
      </c>
      <c r="B51" s="20" t="s">
        <v>80</v>
      </c>
      <c r="C51" s="21" t="n">
        <v>46260.6826388889</v>
      </c>
      <c r="D51" s="21" t="n">
        <v>46261.0576388889</v>
      </c>
      <c r="E51" s="20" t="n">
        <v>1</v>
      </c>
      <c r="F51" s="20" t="s">
        <v>63</v>
      </c>
      <c r="G51" s="20" t="s">
        <v>53</v>
      </c>
      <c r="H51" s="20" t="s">
        <v>72</v>
      </c>
      <c r="I51" s="20" t="n">
        <v>3</v>
      </c>
      <c r="J51" s="22" t="str">
        <f aca="false">IFERROR(INDEX(Categories!$B$2:$B$100,MATCH(E51,Categories!$A$2:$A$100,0)),"")</f>
        <v>Network</v>
      </c>
      <c r="K51" s="22" t="n">
        <f aca="false">IF(OR(C51="",D51=""),"",ROUND((D51-C51)*24,0))</f>
        <v>9</v>
      </c>
      <c r="L51" s="22" t="str">
        <f aca="false">IF(C51="","",CHOOSE(WEEKDAY(C51,2),"Mon","Tue","Wed","Thu","Fri","Sat","Sun"))</f>
        <v>Wed</v>
      </c>
    </row>
    <row r="52" customFormat="false" ht="15" hidden="false" customHeight="false" outlineLevel="0" collapsed="false">
      <c r="A52" s="20" t="n">
        <v>51</v>
      </c>
      <c r="B52" s="20" t="s">
        <v>80</v>
      </c>
      <c r="C52" s="21" t="n">
        <v>46260.7006944444</v>
      </c>
      <c r="D52" s="21" t="n">
        <v>46261.0756944444</v>
      </c>
      <c r="E52" s="20" t="n">
        <v>1</v>
      </c>
      <c r="F52" s="20" t="s">
        <v>52</v>
      </c>
      <c r="G52" s="20" t="s">
        <v>53</v>
      </c>
      <c r="H52" s="20" t="s">
        <v>56</v>
      </c>
      <c r="I52" s="20" t="n">
        <v>2</v>
      </c>
      <c r="J52" s="22" t="str">
        <f aca="false">IFERROR(INDEX(Categories!$B$2:$B$100,MATCH(E52,Categories!$A$2:$A$100,0)),"")</f>
        <v>Network</v>
      </c>
      <c r="K52" s="22" t="n">
        <f aca="false">IF(OR(C52="",D52=""),"",ROUND((D52-C52)*24,0))</f>
        <v>9</v>
      </c>
      <c r="L52" s="22" t="str">
        <f aca="false">IF(C52="","",CHOOSE(WEEKDAY(C52,2),"Mon","Tue","Wed","Thu","Fri","Sat","Sun"))</f>
        <v>Wed</v>
      </c>
    </row>
    <row r="53" customFormat="false" ht="15" hidden="false" customHeight="false" outlineLevel="0" collapsed="false">
      <c r="A53" s="20" t="n">
        <v>52</v>
      </c>
      <c r="B53" s="20" t="s">
        <v>79</v>
      </c>
      <c r="C53" s="21" t="n">
        <v>46261.3513888889</v>
      </c>
      <c r="D53" s="21" t="n">
        <v>46261.4763888889</v>
      </c>
      <c r="E53" s="20" t="n">
        <v>1</v>
      </c>
      <c r="F53" s="20" t="s">
        <v>58</v>
      </c>
      <c r="G53" s="20" t="s">
        <v>53</v>
      </c>
      <c r="H53" s="20" t="s">
        <v>54</v>
      </c>
      <c r="I53" s="20" t="n">
        <v>2</v>
      </c>
      <c r="J53" s="22" t="str">
        <f aca="false">IFERROR(INDEX(Categories!$B$2:$B$100,MATCH(E53,Categories!$A$2:$A$100,0)),"")</f>
        <v>Network</v>
      </c>
      <c r="K53" s="22" t="n">
        <f aca="false">IF(OR(C53="",D53=""),"",ROUND((D53-C53)*24,0))</f>
        <v>3</v>
      </c>
      <c r="L53" s="22" t="str">
        <f aca="false">IF(C53="","",CHOOSE(WEEKDAY(C53,2),"Mon","Tue","Wed","Thu","Fri","Sat","Sun"))</f>
        <v>Thu</v>
      </c>
    </row>
    <row r="54" customFormat="false" ht="15" hidden="false" customHeight="false" outlineLevel="0" collapsed="false">
      <c r="A54" s="20" t="n">
        <v>53</v>
      </c>
      <c r="B54" s="20" t="s">
        <v>75</v>
      </c>
      <c r="C54" s="21" t="n">
        <v>46261.5888888889</v>
      </c>
      <c r="D54" s="21" t="n">
        <v>46261.6722222222</v>
      </c>
      <c r="E54" s="20" t="n">
        <v>3</v>
      </c>
      <c r="F54" s="20" t="s">
        <v>58</v>
      </c>
      <c r="G54" s="20" t="s">
        <v>53</v>
      </c>
      <c r="H54" s="20" t="s">
        <v>72</v>
      </c>
      <c r="I54" s="20" t="n">
        <v>1</v>
      </c>
      <c r="J54" s="22" t="str">
        <f aca="false">IFERROR(INDEX(Categories!$B$2:$B$100,MATCH(E54,Categories!$A$2:$A$100,0)),"")</f>
        <v>Software</v>
      </c>
      <c r="K54" s="22" t="n">
        <f aca="false">IF(OR(C54="",D54=""),"",ROUND((D54-C54)*24,0))</f>
        <v>2</v>
      </c>
      <c r="L54" s="22" t="str">
        <f aca="false">IF(C54="","",CHOOSE(WEEKDAY(C54,2),"Mon","Tue","Wed","Thu","Fri","Sat","Sun"))</f>
        <v>Thu</v>
      </c>
    </row>
    <row r="55" customFormat="false" ht="15" hidden="false" customHeight="false" outlineLevel="0" collapsed="false">
      <c r="A55" s="20" t="n">
        <v>54</v>
      </c>
      <c r="B55" s="20" t="s">
        <v>80</v>
      </c>
      <c r="C55" s="21" t="n">
        <v>46262.4361111111</v>
      </c>
      <c r="D55" s="21" t="n">
        <v>46262.4777777778</v>
      </c>
      <c r="E55" s="20" t="n">
        <v>1</v>
      </c>
      <c r="F55" s="20" t="s">
        <v>52</v>
      </c>
      <c r="G55" s="20" t="s">
        <v>53</v>
      </c>
      <c r="H55" s="20" t="s">
        <v>54</v>
      </c>
      <c r="I55" s="20" t="n">
        <v>2</v>
      </c>
      <c r="J55" s="22" t="str">
        <f aca="false">IFERROR(INDEX(Categories!$B$2:$B$100,MATCH(E55,Categories!$A$2:$A$100,0)),"")</f>
        <v>Network</v>
      </c>
      <c r="K55" s="22" t="n">
        <f aca="false">IF(OR(C55="",D55=""),"",ROUND((D55-C55)*24,0))</f>
        <v>1</v>
      </c>
      <c r="L55" s="22" t="str">
        <f aca="false">IF(C55="","",CHOOSE(WEEKDAY(C55,2),"Mon","Tue","Wed","Thu","Fri","Sat","Sun"))</f>
        <v>Fri</v>
      </c>
    </row>
    <row r="56" customFormat="false" ht="15" hidden="false" customHeight="false" outlineLevel="0" collapsed="false">
      <c r="A56" s="20" t="n">
        <v>55</v>
      </c>
      <c r="B56" s="20" t="s">
        <v>76</v>
      </c>
      <c r="C56" s="21" t="n">
        <v>46262.4381944445</v>
      </c>
      <c r="D56" s="21" t="n">
        <v>46262.4798611111</v>
      </c>
      <c r="E56" s="20" t="n">
        <v>3</v>
      </c>
      <c r="F56" s="20" t="s">
        <v>58</v>
      </c>
      <c r="G56" s="20" t="s">
        <v>53</v>
      </c>
      <c r="H56" s="20" t="s">
        <v>56</v>
      </c>
      <c r="I56" s="20" t="n">
        <v>2</v>
      </c>
      <c r="J56" s="22" t="str">
        <f aca="false">IFERROR(INDEX(Categories!$B$2:$B$100,MATCH(E56,Categories!$A$2:$A$100,0)),"")</f>
        <v>Software</v>
      </c>
      <c r="K56" s="22" t="n">
        <f aca="false">IF(OR(C56="",D56=""),"",ROUND((D56-C56)*24,0))</f>
        <v>1</v>
      </c>
      <c r="L56" s="22" t="str">
        <f aca="false">IF(C56="","",CHOOSE(WEEKDAY(C56,2),"Mon","Tue","Wed","Thu","Fri","Sat","Sun"))</f>
        <v>Fri</v>
      </c>
    </row>
    <row r="57" customFormat="false" ht="15" hidden="false" customHeight="false" outlineLevel="0" collapsed="false">
      <c r="A57" s="20" t="n">
        <v>56</v>
      </c>
      <c r="B57" s="20" t="s">
        <v>70</v>
      </c>
      <c r="C57" s="21" t="n">
        <v>46262.5618055556</v>
      </c>
      <c r="D57" s="21" t="n">
        <v>46263.1034722222</v>
      </c>
      <c r="E57" s="20" t="n">
        <v>2</v>
      </c>
      <c r="F57" s="20" t="s">
        <v>52</v>
      </c>
      <c r="G57" s="20" t="s">
        <v>53</v>
      </c>
      <c r="H57" s="20" t="s">
        <v>61</v>
      </c>
      <c r="I57" s="20" t="n">
        <v>3</v>
      </c>
      <c r="J57" s="22" t="str">
        <f aca="false">IFERROR(INDEX(Categories!$B$2:$B$100,MATCH(E57,Categories!$A$2:$A$100,0)),"")</f>
        <v>Hardware</v>
      </c>
      <c r="K57" s="22" t="n">
        <f aca="false">IF(OR(C57="",D57=""),"",ROUND((D57-C57)*24,0))</f>
        <v>13</v>
      </c>
      <c r="L57" s="22" t="str">
        <f aca="false">IF(C57="","",CHOOSE(WEEKDAY(C57,2),"Mon","Tue","Wed","Thu","Fri","Sat","Sun"))</f>
        <v>Fri</v>
      </c>
    </row>
    <row r="58" customFormat="false" ht="15" hidden="false" customHeight="false" outlineLevel="0" collapsed="false">
      <c r="A58" s="20" t="n">
        <v>57</v>
      </c>
      <c r="B58" s="20" t="s">
        <v>73</v>
      </c>
      <c r="C58" s="21" t="n">
        <v>46262.6631944445</v>
      </c>
      <c r="D58" s="21" t="n">
        <v>46262.8298611111</v>
      </c>
      <c r="E58" s="20" t="n">
        <v>1</v>
      </c>
      <c r="F58" s="20" t="s">
        <v>58</v>
      </c>
      <c r="G58" s="20" t="s">
        <v>53</v>
      </c>
      <c r="H58" s="20" t="s">
        <v>56</v>
      </c>
      <c r="I58" s="20" t="n">
        <v>2</v>
      </c>
      <c r="J58" s="22" t="str">
        <f aca="false">IFERROR(INDEX(Categories!$B$2:$B$100,MATCH(E58,Categories!$A$2:$A$100,0)),"")</f>
        <v>Network</v>
      </c>
      <c r="K58" s="22" t="n">
        <f aca="false">IF(OR(C58="",D58=""),"",ROUND((D58-C58)*24,0))</f>
        <v>4</v>
      </c>
      <c r="L58" s="22" t="str">
        <f aca="false">IF(C58="","",CHOOSE(WEEKDAY(C58,2),"Mon","Tue","Wed","Thu","Fri","Sat","Sun"))</f>
        <v>Fri</v>
      </c>
    </row>
    <row r="59" customFormat="false" ht="15" hidden="false" customHeight="false" outlineLevel="0" collapsed="false">
      <c r="A59" s="20" t="n">
        <v>58</v>
      </c>
      <c r="B59" s="20" t="s">
        <v>80</v>
      </c>
      <c r="C59" s="21" t="n">
        <v>46262.6923611111</v>
      </c>
      <c r="D59" s="21" t="n">
        <v>46262.9006944444</v>
      </c>
      <c r="E59" s="20" t="n">
        <v>1</v>
      </c>
      <c r="F59" s="20" t="s">
        <v>52</v>
      </c>
      <c r="G59" s="20" t="s">
        <v>53</v>
      </c>
      <c r="H59" s="20" t="s">
        <v>61</v>
      </c>
      <c r="I59" s="20" t="n">
        <v>1</v>
      </c>
      <c r="J59" s="22" t="str">
        <f aca="false">IFERROR(INDEX(Categories!$B$2:$B$100,MATCH(E59,Categories!$A$2:$A$100,0)),"")</f>
        <v>Network</v>
      </c>
      <c r="K59" s="22" t="n">
        <f aca="false">IF(OR(C59="",D59=""),"",ROUND((D59-C59)*24,0))</f>
        <v>5</v>
      </c>
      <c r="L59" s="22" t="str">
        <f aca="false">IF(C59="","",CHOOSE(WEEKDAY(C59,2),"Mon","Tue","Wed","Thu","Fri","Sat","Sun"))</f>
        <v>Fri</v>
      </c>
    </row>
    <row r="60" customFormat="false" ht="15" hidden="false" customHeight="false" outlineLevel="0" collapsed="false">
      <c r="A60" s="20" t="n">
        <v>59</v>
      </c>
      <c r="B60" s="20" t="s">
        <v>65</v>
      </c>
      <c r="C60" s="21" t="n">
        <v>46262.7048611111</v>
      </c>
      <c r="D60" s="21" t="n">
        <v>46262.8298611111</v>
      </c>
      <c r="E60" s="20" t="n">
        <v>4</v>
      </c>
      <c r="F60" s="20" t="s">
        <v>63</v>
      </c>
      <c r="G60" s="20" t="s">
        <v>53</v>
      </c>
      <c r="H60" s="20" t="s">
        <v>61</v>
      </c>
      <c r="I60" s="20" t="n">
        <v>2</v>
      </c>
      <c r="J60" s="22" t="str">
        <f aca="false">IFERROR(INDEX(Categories!$B$2:$B$100,MATCH(E60,Categories!$A$2:$A$100,0)),"")</f>
        <v>Account</v>
      </c>
      <c r="K60" s="22" t="n">
        <f aca="false">IF(OR(C60="",D60=""),"",ROUND((D60-C60)*24,0))</f>
        <v>3</v>
      </c>
      <c r="L60" s="22" t="str">
        <f aca="false">IF(C60="","",CHOOSE(WEEKDAY(C60,2),"Mon","Tue","Wed","Thu","Fri","Sat","Sun"))</f>
        <v>Fri</v>
      </c>
    </row>
    <row r="61" customFormat="false" ht="15" hidden="false" customHeight="false" outlineLevel="0" collapsed="false">
      <c r="A61" s="20" t="n">
        <v>60</v>
      </c>
      <c r="B61" s="20" t="s">
        <v>78</v>
      </c>
      <c r="C61" s="21" t="n">
        <v>46263.4208333333</v>
      </c>
      <c r="D61" s="21" t="n">
        <v>46263.7958333333</v>
      </c>
      <c r="E61" s="20" t="n">
        <v>2</v>
      </c>
      <c r="F61" s="20" t="s">
        <v>63</v>
      </c>
      <c r="G61" s="20" t="s">
        <v>53</v>
      </c>
      <c r="H61" s="20" t="s">
        <v>61</v>
      </c>
      <c r="I61" s="20" t="n">
        <v>3</v>
      </c>
      <c r="J61" s="22" t="str">
        <f aca="false">IFERROR(INDEX(Categories!$B$2:$B$100,MATCH(E61,Categories!$A$2:$A$100,0)),"")</f>
        <v>Hardware</v>
      </c>
      <c r="K61" s="22" t="n">
        <f aca="false">IF(OR(C61="",D61=""),"",ROUND((D61-C61)*24,0))</f>
        <v>9</v>
      </c>
      <c r="L61" s="22" t="str">
        <f aca="false">IF(C61="","",CHOOSE(WEEKDAY(C61,2),"Mon","Tue","Wed","Thu","Fri","Sat","Sun"))</f>
        <v>Sat</v>
      </c>
    </row>
    <row r="62" customFormat="false" ht="15" hidden="false" customHeight="false" outlineLevel="0" collapsed="false">
      <c r="A62" s="20" t="n">
        <v>61</v>
      </c>
      <c r="B62" s="20" t="s">
        <v>75</v>
      </c>
      <c r="C62" s="21" t="n">
        <v>46263.4388888889</v>
      </c>
      <c r="D62" s="21" t="n">
        <v>46263.7722222222</v>
      </c>
      <c r="E62" s="20" t="n">
        <v>3</v>
      </c>
      <c r="F62" s="20" t="s">
        <v>52</v>
      </c>
      <c r="G62" s="20" t="s">
        <v>53</v>
      </c>
      <c r="H62" s="20" t="s">
        <v>56</v>
      </c>
      <c r="I62" s="20" t="n">
        <v>2</v>
      </c>
      <c r="J62" s="22" t="str">
        <f aca="false">IFERROR(INDEX(Categories!$B$2:$B$100,MATCH(E62,Categories!$A$2:$A$100,0)),"")</f>
        <v>Software</v>
      </c>
      <c r="K62" s="22" t="n">
        <f aca="false">IF(OR(C62="",D62=""),"",ROUND((D62-C62)*24,0))</f>
        <v>8</v>
      </c>
      <c r="L62" s="22" t="str">
        <f aca="false">IF(C62="","",CHOOSE(WEEKDAY(C62,2),"Mon","Tue","Wed","Thu","Fri","Sat","Sun"))</f>
        <v>Sat</v>
      </c>
    </row>
    <row r="63" customFormat="false" ht="15" hidden="false" customHeight="false" outlineLevel="0" collapsed="false">
      <c r="A63" s="20" t="n">
        <v>62</v>
      </c>
      <c r="B63" s="20" t="s">
        <v>55</v>
      </c>
      <c r="C63" s="21" t="n">
        <v>46265.4652777778</v>
      </c>
      <c r="D63" s="21" t="n">
        <v>46265.8402777778</v>
      </c>
      <c r="E63" s="20" t="n">
        <v>1</v>
      </c>
      <c r="F63" s="20" t="s">
        <v>52</v>
      </c>
      <c r="G63" s="20" t="s">
        <v>53</v>
      </c>
      <c r="H63" s="20" t="s">
        <v>54</v>
      </c>
      <c r="I63" s="20" t="n">
        <v>2</v>
      </c>
      <c r="J63" s="22" t="str">
        <f aca="false">IFERROR(INDEX(Categories!$B$2:$B$100,MATCH(E63,Categories!$A$2:$A$100,0)),"")</f>
        <v>Network</v>
      </c>
      <c r="K63" s="22" t="n">
        <f aca="false">IF(OR(C63="",D63=""),"",ROUND((D63-C63)*24,0))</f>
        <v>9</v>
      </c>
      <c r="L63" s="22" t="str">
        <f aca="false">IF(C63="","",CHOOSE(WEEKDAY(C63,2),"Mon","Tue","Wed","Thu","Fri","Sat","Sun"))</f>
        <v>Mon</v>
      </c>
    </row>
    <row r="64" customFormat="false" ht="15" hidden="false" customHeight="false" outlineLevel="0" collapsed="false">
      <c r="A64" s="20" t="n">
        <v>63</v>
      </c>
      <c r="B64" s="20" t="s">
        <v>70</v>
      </c>
      <c r="C64" s="21" t="n">
        <v>46265.6520833333</v>
      </c>
      <c r="D64" s="21" t="n">
        <v>46265.94375</v>
      </c>
      <c r="E64" s="20" t="n">
        <v>2</v>
      </c>
      <c r="F64" s="20" t="s">
        <v>52</v>
      </c>
      <c r="G64" s="20" t="s">
        <v>53</v>
      </c>
      <c r="H64" s="20" t="s">
        <v>54</v>
      </c>
      <c r="I64" s="20" t="n">
        <v>3</v>
      </c>
      <c r="J64" s="22" t="str">
        <f aca="false">IFERROR(INDEX(Categories!$B$2:$B$100,MATCH(E64,Categories!$A$2:$A$100,0)),"")</f>
        <v>Hardware</v>
      </c>
      <c r="K64" s="22" t="n">
        <f aca="false">IF(OR(C64="",D64=""),"",ROUND((D64-C64)*24,0))</f>
        <v>7</v>
      </c>
      <c r="L64" s="22" t="str">
        <f aca="false">IF(C64="","",CHOOSE(WEEKDAY(C64,2),"Mon","Tue","Wed","Thu","Fri","Sat","Sun"))</f>
        <v>Mon</v>
      </c>
    </row>
    <row r="65" customFormat="false" ht="15" hidden="false" customHeight="false" outlineLevel="0" collapsed="false">
      <c r="A65" s="20" t="n">
        <v>64</v>
      </c>
      <c r="B65" s="20" t="s">
        <v>80</v>
      </c>
      <c r="C65" s="21" t="n">
        <v>46265.6527777778</v>
      </c>
      <c r="D65" s="21" t="n">
        <v>46265.7777777778</v>
      </c>
      <c r="E65" s="20" t="n">
        <v>1</v>
      </c>
      <c r="F65" s="20" t="s">
        <v>58</v>
      </c>
      <c r="G65" s="20" t="s">
        <v>53</v>
      </c>
      <c r="H65" s="20" t="s">
        <v>54</v>
      </c>
      <c r="I65" s="20" t="n">
        <v>3</v>
      </c>
      <c r="J65" s="22" t="str">
        <f aca="false">IFERROR(INDEX(Categories!$B$2:$B$100,MATCH(E65,Categories!$A$2:$A$100,0)),"")</f>
        <v>Network</v>
      </c>
      <c r="K65" s="22" t="n">
        <f aca="false">IF(OR(C65="",D65=""),"",ROUND((D65-C65)*24,0))</f>
        <v>3</v>
      </c>
      <c r="L65" s="22" t="str">
        <f aca="false">IF(C65="","",CHOOSE(WEEKDAY(C65,2),"Mon","Tue","Wed","Thu","Fri","Sat","Sun"))</f>
        <v>Mon</v>
      </c>
    </row>
    <row r="66" customFormat="false" ht="15" hidden="false" customHeight="false" outlineLevel="0" collapsed="false">
      <c r="A66" s="20" t="n">
        <v>65</v>
      </c>
      <c r="B66" s="20" t="s">
        <v>77</v>
      </c>
      <c r="C66" s="21" t="n">
        <v>46265.6819444444</v>
      </c>
      <c r="D66" s="21" t="n">
        <v>46266.2236111111</v>
      </c>
      <c r="E66" s="20" t="n">
        <v>2</v>
      </c>
      <c r="F66" s="20" t="s">
        <v>63</v>
      </c>
      <c r="G66" s="20" t="s">
        <v>53</v>
      </c>
      <c r="H66" s="20" t="s">
        <v>72</v>
      </c>
      <c r="I66" s="20" t="n">
        <v>3</v>
      </c>
      <c r="J66" s="22" t="str">
        <f aca="false">IFERROR(INDEX(Categories!$B$2:$B$100,MATCH(E66,Categories!$A$2:$A$100,0)),"")</f>
        <v>Hardware</v>
      </c>
      <c r="K66" s="22" t="n">
        <f aca="false">IF(OR(C66="",D66=""),"",ROUND((D66-C66)*24,0))</f>
        <v>13</v>
      </c>
      <c r="L66" s="22" t="str">
        <f aca="false">IF(C66="","",CHOOSE(WEEKDAY(C66,2),"Mon","Tue","Wed","Thu","Fri","Sat","Sun"))</f>
        <v>Mon</v>
      </c>
    </row>
    <row r="67" customFormat="false" ht="15" hidden="false" customHeight="false" outlineLevel="0" collapsed="false">
      <c r="A67" s="20" t="n">
        <v>66</v>
      </c>
      <c r="B67" s="20" t="s">
        <v>68</v>
      </c>
      <c r="C67" s="21" t="n">
        <v>46266.4631944444</v>
      </c>
      <c r="D67" s="21" t="n">
        <v>46266.6715277778</v>
      </c>
      <c r="E67" s="20" t="n">
        <v>3</v>
      </c>
      <c r="F67" s="20" t="s">
        <v>52</v>
      </c>
      <c r="G67" s="20" t="s">
        <v>53</v>
      </c>
      <c r="H67" s="20" t="s">
        <v>64</v>
      </c>
      <c r="I67" s="20" t="n">
        <v>3</v>
      </c>
      <c r="J67" s="22" t="str">
        <f aca="false">IFERROR(INDEX(Categories!$B$2:$B$100,MATCH(E67,Categories!$A$2:$A$100,0)),"")</f>
        <v>Software</v>
      </c>
      <c r="K67" s="22" t="n">
        <f aca="false">IF(OR(C67="",D67=""),"",ROUND((D67-C67)*24,0))</f>
        <v>5</v>
      </c>
      <c r="L67" s="22" t="str">
        <f aca="false">IF(C67="","",CHOOSE(WEEKDAY(C67,2),"Mon","Tue","Wed","Thu","Fri","Sat","Sun"))</f>
        <v>Tue</v>
      </c>
    </row>
    <row r="68" customFormat="false" ht="15" hidden="false" customHeight="false" outlineLevel="0" collapsed="false">
      <c r="A68" s="20" t="n">
        <v>67</v>
      </c>
      <c r="B68" s="20" t="s">
        <v>76</v>
      </c>
      <c r="C68" s="21" t="n">
        <v>46267.5194444444</v>
      </c>
      <c r="D68" s="21" t="n">
        <v>46267.7694444444</v>
      </c>
      <c r="E68" s="20" t="n">
        <v>3</v>
      </c>
      <c r="F68" s="20" t="s">
        <v>58</v>
      </c>
      <c r="G68" s="20" t="s">
        <v>53</v>
      </c>
      <c r="H68" s="20" t="s">
        <v>72</v>
      </c>
      <c r="I68" s="20" t="n">
        <v>2</v>
      </c>
      <c r="J68" s="22" t="str">
        <f aca="false">IFERROR(INDEX(Categories!$B$2:$B$100,MATCH(E68,Categories!$A$2:$A$100,0)),"")</f>
        <v>Software</v>
      </c>
      <c r="K68" s="22" t="n">
        <f aca="false">IF(OR(C68="",D68=""),"",ROUND((D68-C68)*24,0))</f>
        <v>6</v>
      </c>
      <c r="L68" s="22" t="str">
        <f aca="false">IF(C68="","",CHOOSE(WEEKDAY(C68,2),"Mon","Tue","Wed","Thu","Fri","Sat","Sun"))</f>
        <v>Wed</v>
      </c>
    </row>
    <row r="69" customFormat="false" ht="15" hidden="false" customHeight="false" outlineLevel="0" collapsed="false">
      <c r="A69" s="20" t="n">
        <v>68</v>
      </c>
      <c r="B69" s="20" t="s">
        <v>70</v>
      </c>
      <c r="C69" s="21" t="n">
        <v>46268.4729166667</v>
      </c>
      <c r="D69" s="21" t="n">
        <v>46268.93125</v>
      </c>
      <c r="E69" s="20" t="n">
        <v>2</v>
      </c>
      <c r="F69" s="20" t="s">
        <v>63</v>
      </c>
      <c r="G69" s="20" t="s">
        <v>53</v>
      </c>
      <c r="H69" s="20" t="s">
        <v>61</v>
      </c>
      <c r="I69" s="20" t="n">
        <v>2</v>
      </c>
      <c r="J69" s="22" t="str">
        <f aca="false">IFERROR(INDEX(Categories!$B$2:$B$100,MATCH(E69,Categories!$A$2:$A$100,0)),"")</f>
        <v>Hardware</v>
      </c>
      <c r="K69" s="22" t="n">
        <f aca="false">IF(OR(C69="",D69=""),"",ROUND((D69-C69)*24,0))</f>
        <v>11</v>
      </c>
      <c r="L69" s="22" t="str">
        <f aca="false">IF(C69="","",CHOOSE(WEEKDAY(C69,2),"Mon","Tue","Wed","Thu","Fri","Sat","Sun"))</f>
        <v>Thu</v>
      </c>
    </row>
    <row r="70" customFormat="false" ht="15" hidden="false" customHeight="false" outlineLevel="0" collapsed="false">
      <c r="A70" s="20" t="n">
        <v>69</v>
      </c>
      <c r="B70" s="20" t="s">
        <v>82</v>
      </c>
      <c r="C70" s="21" t="n">
        <v>46268.5340277778</v>
      </c>
      <c r="D70" s="21" t="n">
        <v>46268.7423611111</v>
      </c>
      <c r="E70" s="20" t="n">
        <v>5</v>
      </c>
      <c r="F70" s="20" t="s">
        <v>63</v>
      </c>
      <c r="G70" s="20" t="s">
        <v>53</v>
      </c>
      <c r="H70" s="20" t="s">
        <v>56</v>
      </c>
      <c r="I70" s="20" t="n">
        <v>2</v>
      </c>
      <c r="J70" s="22" t="str">
        <f aca="false">IFERROR(INDEX(Categories!$B$2:$B$100,MATCH(E70,Categories!$A$2:$A$100,0)),"")</f>
        <v>Printer</v>
      </c>
      <c r="K70" s="22" t="n">
        <f aca="false">IF(OR(C70="",D70=""),"",ROUND((D70-C70)*24,0))</f>
        <v>5</v>
      </c>
      <c r="L70" s="22" t="str">
        <f aca="false">IF(C70="","",CHOOSE(WEEKDAY(C70,2),"Mon","Tue","Wed","Thu","Fri","Sat","Sun"))</f>
        <v>Thu</v>
      </c>
    </row>
    <row r="71" customFormat="false" ht="15" hidden="false" customHeight="false" outlineLevel="0" collapsed="false">
      <c r="A71" s="20" t="n">
        <v>70</v>
      </c>
      <c r="B71" s="20" t="s">
        <v>55</v>
      </c>
      <c r="C71" s="21" t="n">
        <v>46269.5847222222</v>
      </c>
      <c r="D71" s="21" t="n">
        <v>46269.9180555556</v>
      </c>
      <c r="E71" s="20" t="n">
        <v>1</v>
      </c>
      <c r="F71" s="20" t="s">
        <v>52</v>
      </c>
      <c r="G71" s="20" t="s">
        <v>53</v>
      </c>
      <c r="H71" s="20" t="s">
        <v>56</v>
      </c>
      <c r="I71" s="20" t="n">
        <v>2</v>
      </c>
      <c r="J71" s="22" t="str">
        <f aca="false">IFERROR(INDEX(Categories!$B$2:$B$100,MATCH(E71,Categories!$A$2:$A$100,0)),"")</f>
        <v>Network</v>
      </c>
      <c r="K71" s="22" t="n">
        <f aca="false">IF(OR(C71="",D71=""),"",ROUND((D71-C71)*24,0))</f>
        <v>8</v>
      </c>
      <c r="L71" s="22" t="str">
        <f aca="false">IF(C71="","",CHOOSE(WEEKDAY(C71,2),"Mon","Tue","Wed","Thu","Fri","Sat","Sun"))</f>
        <v>Fri</v>
      </c>
    </row>
    <row r="72" customFormat="false" ht="15" hidden="false" customHeight="false" outlineLevel="0" collapsed="false">
      <c r="A72" s="20" t="n">
        <v>71</v>
      </c>
      <c r="B72" s="20" t="s">
        <v>74</v>
      </c>
      <c r="C72" s="21" t="n">
        <v>46269.5930555556</v>
      </c>
      <c r="D72" s="21" t="n">
        <v>46269.7180555556</v>
      </c>
      <c r="E72" s="20" t="n">
        <v>5</v>
      </c>
      <c r="F72" s="20" t="s">
        <v>63</v>
      </c>
      <c r="G72" s="20" t="s">
        <v>53</v>
      </c>
      <c r="H72" s="20" t="s">
        <v>56</v>
      </c>
      <c r="I72" s="20" t="n">
        <v>1</v>
      </c>
      <c r="J72" s="22" t="str">
        <f aca="false">IFERROR(INDEX(Categories!$B$2:$B$100,MATCH(E72,Categories!$A$2:$A$100,0)),"")</f>
        <v>Printer</v>
      </c>
      <c r="K72" s="22" t="n">
        <f aca="false">IF(OR(C72="",D72=""),"",ROUND((D72-C72)*24,0))</f>
        <v>3</v>
      </c>
      <c r="L72" s="22" t="str">
        <f aca="false">IF(C72="","",CHOOSE(WEEKDAY(C72,2),"Mon","Tue","Wed","Thu","Fri","Sat","Sun"))</f>
        <v>Fri</v>
      </c>
    </row>
    <row r="73" customFormat="false" ht="15" hidden="false" customHeight="false" outlineLevel="0" collapsed="false">
      <c r="A73" s="20" t="n">
        <v>72</v>
      </c>
      <c r="B73" s="20" t="s">
        <v>57</v>
      </c>
      <c r="C73" s="21" t="n">
        <v>46269.6902777778</v>
      </c>
      <c r="D73" s="21" t="n">
        <v>46269.9402777778</v>
      </c>
      <c r="E73" s="20" t="n">
        <v>3</v>
      </c>
      <c r="F73" s="20" t="s">
        <v>63</v>
      </c>
      <c r="G73" s="20" t="s">
        <v>53</v>
      </c>
      <c r="H73" s="20" t="s">
        <v>64</v>
      </c>
      <c r="I73" s="20" t="n">
        <v>2</v>
      </c>
      <c r="J73" s="22" t="str">
        <f aca="false">IFERROR(INDEX(Categories!$B$2:$B$100,MATCH(E73,Categories!$A$2:$A$100,0)),"")</f>
        <v>Software</v>
      </c>
      <c r="K73" s="22" t="n">
        <f aca="false">IF(OR(C73="",D73=""),"",ROUND((D73-C73)*24,0))</f>
        <v>6</v>
      </c>
      <c r="L73" s="22" t="str">
        <f aca="false">IF(C73="","",CHOOSE(WEEKDAY(C73,2),"Mon","Tue","Wed","Thu","Fri","Sat","Sun"))</f>
        <v>Fri</v>
      </c>
    </row>
    <row r="74" customFormat="false" ht="15" hidden="false" customHeight="false" outlineLevel="0" collapsed="false">
      <c r="A74" s="20" t="n">
        <v>73</v>
      </c>
      <c r="B74" s="20" t="s">
        <v>76</v>
      </c>
      <c r="C74" s="21" t="n">
        <v>46272.4041666667</v>
      </c>
      <c r="D74" s="21" t="n">
        <v>46272.6541666667</v>
      </c>
      <c r="E74" s="20" t="n">
        <v>3</v>
      </c>
      <c r="F74" s="20" t="s">
        <v>52</v>
      </c>
      <c r="G74" s="20" t="s">
        <v>53</v>
      </c>
      <c r="H74" s="20" t="s">
        <v>54</v>
      </c>
      <c r="I74" s="20" t="n">
        <v>2</v>
      </c>
      <c r="J74" s="22" t="str">
        <f aca="false">IFERROR(INDEX(Categories!$B$2:$B$100,MATCH(E74,Categories!$A$2:$A$100,0)),"")</f>
        <v>Software</v>
      </c>
      <c r="K74" s="22" t="n">
        <f aca="false">IF(OR(C74="",D74=""),"",ROUND((D74-C74)*24,0))</f>
        <v>6</v>
      </c>
      <c r="L74" s="22" t="str">
        <f aca="false">IF(C74="","",CHOOSE(WEEKDAY(C74,2),"Mon","Tue","Wed","Thu","Fri","Sat","Sun"))</f>
        <v>Mon</v>
      </c>
    </row>
    <row r="75" customFormat="false" ht="15" hidden="false" customHeight="false" outlineLevel="0" collapsed="false">
      <c r="A75" s="20" t="n">
        <v>74</v>
      </c>
      <c r="B75" s="20" t="s">
        <v>79</v>
      </c>
      <c r="C75" s="21" t="n">
        <v>46272.4715277778</v>
      </c>
      <c r="D75" s="21" t="n">
        <v>46272.8881944444</v>
      </c>
      <c r="E75" s="20" t="n">
        <v>1</v>
      </c>
      <c r="F75" s="20" t="s">
        <v>58</v>
      </c>
      <c r="G75" s="20" t="s">
        <v>53</v>
      </c>
      <c r="H75" s="20" t="s">
        <v>54</v>
      </c>
      <c r="I75" s="20" t="n">
        <v>3</v>
      </c>
      <c r="J75" s="22" t="str">
        <f aca="false">IFERROR(INDEX(Categories!$B$2:$B$100,MATCH(E75,Categories!$A$2:$A$100,0)),"")</f>
        <v>Network</v>
      </c>
      <c r="K75" s="22" t="n">
        <f aca="false">IF(OR(C75="",D75=""),"",ROUND((D75-C75)*24,0))</f>
        <v>10</v>
      </c>
      <c r="L75" s="22" t="str">
        <f aca="false">IF(C75="","",CHOOSE(WEEKDAY(C75,2),"Mon","Tue","Wed","Thu","Fri","Sat","Sun"))</f>
        <v>Mon</v>
      </c>
    </row>
    <row r="76" customFormat="false" ht="15" hidden="false" customHeight="false" outlineLevel="0" collapsed="false">
      <c r="A76" s="20" t="n">
        <v>75</v>
      </c>
      <c r="B76" s="20" t="s">
        <v>78</v>
      </c>
      <c r="C76" s="21" t="n">
        <v>46272.5298611111</v>
      </c>
      <c r="D76" s="21" t="n">
        <v>46272.9048611111</v>
      </c>
      <c r="E76" s="20" t="n">
        <v>2</v>
      </c>
      <c r="F76" s="20" t="s">
        <v>52</v>
      </c>
      <c r="G76" s="20" t="s">
        <v>53</v>
      </c>
      <c r="H76" s="20" t="s">
        <v>64</v>
      </c>
      <c r="I76" s="20" t="n">
        <v>3</v>
      </c>
      <c r="J76" s="22" t="str">
        <f aca="false">IFERROR(INDEX(Categories!$B$2:$B$100,MATCH(E76,Categories!$A$2:$A$100,0)),"")</f>
        <v>Hardware</v>
      </c>
      <c r="K76" s="22" t="n">
        <f aca="false">IF(OR(C76="",D76=""),"",ROUND((D76-C76)*24,0))</f>
        <v>9</v>
      </c>
      <c r="L76" s="22" t="str">
        <f aca="false">IF(C76="","",CHOOSE(WEEKDAY(C76,2),"Mon","Tue","Wed","Thu","Fri","Sat","Sun"))</f>
        <v>Mon</v>
      </c>
    </row>
    <row r="77" customFormat="false" ht="15" hidden="false" customHeight="false" outlineLevel="0" collapsed="false">
      <c r="A77" s="20" t="n">
        <v>76</v>
      </c>
      <c r="B77" s="20" t="s">
        <v>55</v>
      </c>
      <c r="C77" s="21" t="n">
        <v>46272.5340277778</v>
      </c>
      <c r="D77" s="21" t="n">
        <v>46272.7423611111</v>
      </c>
      <c r="E77" s="20" t="n">
        <v>1</v>
      </c>
      <c r="F77" s="20" t="s">
        <v>58</v>
      </c>
      <c r="G77" s="20" t="s">
        <v>53</v>
      </c>
      <c r="H77" s="20" t="s">
        <v>61</v>
      </c>
      <c r="I77" s="20" t="n">
        <v>2</v>
      </c>
      <c r="J77" s="22" t="str">
        <f aca="false">IFERROR(INDEX(Categories!$B$2:$B$100,MATCH(E77,Categories!$A$2:$A$100,0)),"")</f>
        <v>Network</v>
      </c>
      <c r="K77" s="22" t="n">
        <f aca="false">IF(OR(C77="",D77=""),"",ROUND((D77-C77)*24,0))</f>
        <v>5</v>
      </c>
      <c r="L77" s="22" t="str">
        <f aca="false">IF(C77="","",CHOOSE(WEEKDAY(C77,2),"Mon","Tue","Wed","Thu","Fri","Sat","Sun"))</f>
        <v>Mon</v>
      </c>
    </row>
    <row r="78" customFormat="false" ht="15" hidden="false" customHeight="false" outlineLevel="0" collapsed="false">
      <c r="A78" s="20" t="n">
        <v>77</v>
      </c>
      <c r="B78" s="20" t="s">
        <v>60</v>
      </c>
      <c r="C78" s="21" t="n">
        <v>46273.5013888889</v>
      </c>
      <c r="D78" s="21" t="n">
        <v>46273.8347222222</v>
      </c>
      <c r="E78" s="20" t="n">
        <v>1</v>
      </c>
      <c r="F78" s="20" t="s">
        <v>58</v>
      </c>
      <c r="G78" s="20" t="s">
        <v>53</v>
      </c>
      <c r="H78" s="20" t="s">
        <v>61</v>
      </c>
      <c r="I78" s="20" t="n">
        <v>2</v>
      </c>
      <c r="J78" s="22" t="str">
        <f aca="false">IFERROR(INDEX(Categories!$B$2:$B$100,MATCH(E78,Categories!$A$2:$A$100,0)),"")</f>
        <v>Network</v>
      </c>
      <c r="K78" s="22" t="n">
        <f aca="false">IF(OR(C78="",D78=""),"",ROUND((D78-C78)*24,0))</f>
        <v>8</v>
      </c>
      <c r="L78" s="22" t="str">
        <f aca="false">IF(C78="","",CHOOSE(WEEKDAY(C78,2),"Mon","Tue","Wed","Thu","Fri","Sat","Sun"))</f>
        <v>Tue</v>
      </c>
    </row>
    <row r="79" customFormat="false" ht="15" hidden="false" customHeight="false" outlineLevel="0" collapsed="false">
      <c r="A79" s="20" t="n">
        <v>78</v>
      </c>
      <c r="B79" s="20" t="s">
        <v>55</v>
      </c>
      <c r="C79" s="21" t="n">
        <v>46273.5701388889</v>
      </c>
      <c r="D79" s="21" t="n">
        <v>46273.7784722222</v>
      </c>
      <c r="E79" s="20" t="n">
        <v>1</v>
      </c>
      <c r="F79" s="20" t="s">
        <v>52</v>
      </c>
      <c r="G79" s="20" t="s">
        <v>53</v>
      </c>
      <c r="H79" s="20" t="s">
        <v>54</v>
      </c>
      <c r="I79" s="20" t="n">
        <v>1</v>
      </c>
      <c r="J79" s="22" t="str">
        <f aca="false">IFERROR(INDEX(Categories!$B$2:$B$100,MATCH(E79,Categories!$A$2:$A$100,0)),"")</f>
        <v>Network</v>
      </c>
      <c r="K79" s="22" t="n">
        <f aca="false">IF(OR(C79="",D79=""),"",ROUND((D79-C79)*24,0))</f>
        <v>5</v>
      </c>
      <c r="L79" s="22" t="str">
        <f aca="false">IF(C79="","",CHOOSE(WEEKDAY(C79,2),"Mon","Tue","Wed","Thu","Fri","Sat","Sun"))</f>
        <v>Tue</v>
      </c>
    </row>
    <row r="80" customFormat="false" ht="15" hidden="false" customHeight="false" outlineLevel="0" collapsed="false">
      <c r="A80" s="20" t="n">
        <v>79</v>
      </c>
      <c r="B80" s="20" t="s">
        <v>82</v>
      </c>
      <c r="C80" s="21" t="n">
        <v>46274.4368055556</v>
      </c>
      <c r="D80" s="21" t="n">
        <v>46274.6034722222</v>
      </c>
      <c r="E80" s="20" t="n">
        <v>5</v>
      </c>
      <c r="F80" s="20" t="s">
        <v>52</v>
      </c>
      <c r="G80" s="20" t="s">
        <v>53</v>
      </c>
      <c r="H80" s="20" t="s">
        <v>56</v>
      </c>
      <c r="I80" s="20" t="n">
        <v>3</v>
      </c>
      <c r="J80" s="22" t="str">
        <f aca="false">IFERROR(INDEX(Categories!$B$2:$B$100,MATCH(E80,Categories!$A$2:$A$100,0)),"")</f>
        <v>Printer</v>
      </c>
      <c r="K80" s="22" t="n">
        <f aca="false">IF(OR(C80="",D80=""),"",ROUND((D80-C80)*24,0))</f>
        <v>4</v>
      </c>
      <c r="L80" s="22" t="str">
        <f aca="false">IF(C80="","",CHOOSE(WEEKDAY(C80,2),"Mon","Tue","Wed","Thu","Fri","Sat","Sun"))</f>
        <v>Wed</v>
      </c>
    </row>
    <row r="81" customFormat="false" ht="15" hidden="false" customHeight="false" outlineLevel="0" collapsed="false">
      <c r="A81" s="20" t="n">
        <v>80</v>
      </c>
      <c r="B81" s="20" t="s">
        <v>74</v>
      </c>
      <c r="C81" s="21" t="n">
        <v>46274.6388888889</v>
      </c>
      <c r="D81" s="21" t="n">
        <v>46274.8055555556</v>
      </c>
      <c r="E81" s="20" t="n">
        <v>5</v>
      </c>
      <c r="F81" s="20" t="s">
        <v>58</v>
      </c>
      <c r="G81" s="20" t="s">
        <v>53</v>
      </c>
      <c r="H81" s="20" t="s">
        <v>56</v>
      </c>
      <c r="I81" s="20" t="n">
        <v>1</v>
      </c>
      <c r="J81" s="22" t="str">
        <f aca="false">IFERROR(INDEX(Categories!$B$2:$B$100,MATCH(E81,Categories!$A$2:$A$100,0)),"")</f>
        <v>Printer</v>
      </c>
      <c r="K81" s="22" t="n">
        <f aca="false">IF(OR(C81="",D81=""),"",ROUND((D81-C81)*24,0))</f>
        <v>4</v>
      </c>
      <c r="L81" s="22" t="str">
        <f aca="false">IF(C81="","",CHOOSE(WEEKDAY(C81,2),"Mon","Tue","Wed","Thu","Fri","Sat","Sun"))</f>
        <v>Wed</v>
      </c>
    </row>
    <row r="82" customFormat="false" ht="15" hidden="false" customHeight="false" outlineLevel="0" collapsed="false">
      <c r="A82" s="20" t="n">
        <v>81</v>
      </c>
      <c r="B82" s="20" t="s">
        <v>60</v>
      </c>
      <c r="C82" s="21" t="n">
        <v>46274.6423611111</v>
      </c>
      <c r="D82" s="21" t="n">
        <v>46274.9756944445</v>
      </c>
      <c r="E82" s="20" t="n">
        <v>1</v>
      </c>
      <c r="F82" s="20" t="s">
        <v>52</v>
      </c>
      <c r="G82" s="20" t="s">
        <v>53</v>
      </c>
      <c r="H82" s="20" t="s">
        <v>72</v>
      </c>
      <c r="I82" s="20" t="n">
        <v>1</v>
      </c>
      <c r="J82" s="22" t="str">
        <f aca="false">IFERROR(INDEX(Categories!$B$2:$B$100,MATCH(E82,Categories!$A$2:$A$100,0)),"")</f>
        <v>Network</v>
      </c>
      <c r="K82" s="22" t="n">
        <f aca="false">IF(OR(C82="",D82=""),"",ROUND((D82-C82)*24,0))</f>
        <v>8</v>
      </c>
      <c r="L82" s="22" t="str">
        <f aca="false">IF(C82="","",CHOOSE(WEEKDAY(C82,2),"Mon","Tue","Wed","Thu","Fri","Sat","Sun"))</f>
        <v>Wed</v>
      </c>
    </row>
    <row r="83" customFormat="false" ht="15" hidden="false" customHeight="false" outlineLevel="0" collapsed="false">
      <c r="A83" s="20" t="n">
        <v>82</v>
      </c>
      <c r="B83" s="20" t="s">
        <v>67</v>
      </c>
      <c r="C83" s="21" t="n">
        <v>46275.3777777778</v>
      </c>
      <c r="D83" s="21" t="n">
        <v>46275.8361111111</v>
      </c>
      <c r="E83" s="20" t="n">
        <v>2</v>
      </c>
      <c r="F83" s="20" t="s">
        <v>58</v>
      </c>
      <c r="G83" s="20" t="s">
        <v>53</v>
      </c>
      <c r="H83" s="20" t="s">
        <v>72</v>
      </c>
      <c r="I83" s="20" t="n">
        <v>2</v>
      </c>
      <c r="J83" s="22" t="str">
        <f aca="false">IFERROR(INDEX(Categories!$B$2:$B$100,MATCH(E83,Categories!$A$2:$A$100,0)),"")</f>
        <v>Hardware</v>
      </c>
      <c r="K83" s="22" t="n">
        <f aca="false">IF(OR(C83="",D83=""),"",ROUND((D83-C83)*24,0))</f>
        <v>11</v>
      </c>
      <c r="L83" s="22" t="str">
        <f aca="false">IF(C83="","",CHOOSE(WEEKDAY(C83,2),"Mon","Tue","Wed","Thu","Fri","Sat","Sun"))</f>
        <v>Thu</v>
      </c>
    </row>
    <row r="84" customFormat="false" ht="15" hidden="false" customHeight="false" outlineLevel="0" collapsed="false">
      <c r="A84" s="20" t="n">
        <v>83</v>
      </c>
      <c r="B84" s="20" t="s">
        <v>71</v>
      </c>
      <c r="C84" s="21" t="n">
        <v>46275.3861111111</v>
      </c>
      <c r="D84" s="21" t="n">
        <v>46275.4694444445</v>
      </c>
      <c r="E84" s="20" t="n">
        <v>4</v>
      </c>
      <c r="F84" s="20" t="s">
        <v>52</v>
      </c>
      <c r="G84" s="20" t="s">
        <v>53</v>
      </c>
      <c r="H84" s="20" t="s">
        <v>56</v>
      </c>
      <c r="I84" s="20" t="n">
        <v>3</v>
      </c>
      <c r="J84" s="22" t="str">
        <f aca="false">IFERROR(INDEX(Categories!$B$2:$B$100,MATCH(E84,Categories!$A$2:$A$100,0)),"")</f>
        <v>Account</v>
      </c>
      <c r="K84" s="22" t="n">
        <f aca="false">IF(OR(C84="",D84=""),"",ROUND((D84-C84)*24,0))</f>
        <v>2</v>
      </c>
      <c r="L84" s="22" t="str">
        <f aca="false">IF(C84="","",CHOOSE(WEEKDAY(C84,2),"Mon","Tue","Wed","Thu","Fri","Sat","Sun"))</f>
        <v>Thu</v>
      </c>
    </row>
    <row r="85" customFormat="false" ht="15" hidden="false" customHeight="false" outlineLevel="0" collapsed="false">
      <c r="A85" s="20" t="n">
        <v>84</v>
      </c>
      <c r="B85" s="20" t="s">
        <v>78</v>
      </c>
      <c r="C85" s="21" t="n">
        <v>46275.3888888889</v>
      </c>
      <c r="D85" s="21" t="n">
        <v>46275.9722222222</v>
      </c>
      <c r="E85" s="20" t="n">
        <v>2</v>
      </c>
      <c r="F85" s="20" t="s">
        <v>52</v>
      </c>
      <c r="G85" s="20" t="s">
        <v>53</v>
      </c>
      <c r="H85" s="20" t="s">
        <v>64</v>
      </c>
      <c r="I85" s="20" t="n">
        <v>1</v>
      </c>
      <c r="J85" s="22" t="str">
        <f aca="false">IFERROR(INDEX(Categories!$B$2:$B$100,MATCH(E85,Categories!$A$2:$A$100,0)),"")</f>
        <v>Hardware</v>
      </c>
      <c r="K85" s="22" t="n">
        <f aca="false">IF(OR(C85="",D85=""),"",ROUND((D85-C85)*24,0))</f>
        <v>14</v>
      </c>
      <c r="L85" s="22" t="str">
        <f aca="false">IF(C85="","",CHOOSE(WEEKDAY(C85,2),"Mon","Tue","Wed","Thu","Fri","Sat","Sun"))</f>
        <v>Thu</v>
      </c>
    </row>
    <row r="86" customFormat="false" ht="15" hidden="false" customHeight="false" outlineLevel="0" collapsed="false">
      <c r="A86" s="20" t="n">
        <v>85</v>
      </c>
      <c r="B86" s="20" t="s">
        <v>80</v>
      </c>
      <c r="C86" s="21" t="n">
        <v>46275.4208333333</v>
      </c>
      <c r="D86" s="21" t="n">
        <v>46275.6291666667</v>
      </c>
      <c r="E86" s="20" t="n">
        <v>1</v>
      </c>
      <c r="F86" s="20" t="s">
        <v>58</v>
      </c>
      <c r="G86" s="20" t="s">
        <v>53</v>
      </c>
      <c r="H86" s="20" t="s">
        <v>56</v>
      </c>
      <c r="I86" s="20" t="n">
        <v>1</v>
      </c>
      <c r="J86" s="22" t="str">
        <f aca="false">IFERROR(INDEX(Categories!$B$2:$B$100,MATCH(E86,Categories!$A$2:$A$100,0)),"")</f>
        <v>Network</v>
      </c>
      <c r="K86" s="22" t="n">
        <f aca="false">IF(OR(C86="",D86=""),"",ROUND((D86-C86)*24,0))</f>
        <v>5</v>
      </c>
      <c r="L86" s="22" t="str">
        <f aca="false">IF(C86="","",CHOOSE(WEEKDAY(C86,2),"Mon","Tue","Wed","Thu","Fri","Sat","Sun"))</f>
        <v>Thu</v>
      </c>
    </row>
    <row r="87" customFormat="false" ht="15" hidden="false" customHeight="false" outlineLevel="0" collapsed="false">
      <c r="A87" s="20" t="n">
        <v>86</v>
      </c>
      <c r="B87" s="20" t="s">
        <v>75</v>
      </c>
      <c r="C87" s="21" t="n">
        <v>46275.5597222222</v>
      </c>
      <c r="D87" s="21" t="n">
        <v>46275.7263888889</v>
      </c>
      <c r="E87" s="20" t="n">
        <v>3</v>
      </c>
      <c r="F87" s="20" t="s">
        <v>63</v>
      </c>
      <c r="G87" s="20" t="s">
        <v>53</v>
      </c>
      <c r="H87" s="20" t="s">
        <v>72</v>
      </c>
      <c r="I87" s="20" t="n">
        <v>1</v>
      </c>
      <c r="J87" s="22" t="str">
        <f aca="false">IFERROR(INDEX(Categories!$B$2:$B$100,MATCH(E87,Categories!$A$2:$A$100,0)),"")</f>
        <v>Software</v>
      </c>
      <c r="K87" s="22" t="n">
        <f aca="false">IF(OR(C87="",D87=""),"",ROUND((D87-C87)*24,0))</f>
        <v>4</v>
      </c>
      <c r="L87" s="22" t="str">
        <f aca="false">IF(C87="","",CHOOSE(WEEKDAY(C87,2),"Mon","Tue","Wed","Thu","Fri","Sat","Sun"))</f>
        <v>Thu</v>
      </c>
    </row>
    <row r="88" customFormat="false" ht="15" hidden="false" customHeight="false" outlineLevel="0" collapsed="false">
      <c r="A88" s="20" t="n">
        <v>87</v>
      </c>
      <c r="B88" s="20" t="s">
        <v>66</v>
      </c>
      <c r="C88" s="21" t="n">
        <v>46275.6208333333</v>
      </c>
      <c r="D88" s="21" t="n">
        <v>46275.6625</v>
      </c>
      <c r="E88" s="20" t="n">
        <v>4</v>
      </c>
      <c r="F88" s="20" t="s">
        <v>58</v>
      </c>
      <c r="G88" s="20" t="s">
        <v>53</v>
      </c>
      <c r="H88" s="20" t="s">
        <v>64</v>
      </c>
      <c r="I88" s="20" t="n">
        <v>1</v>
      </c>
      <c r="J88" s="22" t="str">
        <f aca="false">IFERROR(INDEX(Categories!$B$2:$B$100,MATCH(E88,Categories!$A$2:$A$100,0)),"")</f>
        <v>Account</v>
      </c>
      <c r="K88" s="22" t="n">
        <f aca="false">IF(OR(C88="",D88=""),"",ROUND((D88-C88)*24,0))</f>
        <v>1</v>
      </c>
      <c r="L88" s="22" t="str">
        <f aca="false">IF(C88="","",CHOOSE(WEEKDAY(C88,2),"Mon","Tue","Wed","Thu","Fri","Sat","Sun"))</f>
        <v>Thu</v>
      </c>
    </row>
    <row r="89" customFormat="false" ht="15" hidden="false" customHeight="false" outlineLevel="0" collapsed="false">
      <c r="A89" s="20" t="n">
        <v>88</v>
      </c>
      <c r="B89" s="20" t="s">
        <v>67</v>
      </c>
      <c r="C89" s="21" t="n">
        <v>46276.4333333333</v>
      </c>
      <c r="D89" s="21" t="n">
        <v>46276.7666666667</v>
      </c>
      <c r="E89" s="20" t="n">
        <v>2</v>
      </c>
      <c r="F89" s="20" t="s">
        <v>52</v>
      </c>
      <c r="G89" s="20" t="s">
        <v>53</v>
      </c>
      <c r="H89" s="20" t="s">
        <v>54</v>
      </c>
      <c r="I89" s="20" t="n">
        <v>3</v>
      </c>
      <c r="J89" s="22" t="str">
        <f aca="false">IFERROR(INDEX(Categories!$B$2:$B$100,MATCH(E89,Categories!$A$2:$A$100,0)),"")</f>
        <v>Hardware</v>
      </c>
      <c r="K89" s="22" t="n">
        <f aca="false">IF(OR(C89="",D89=""),"",ROUND((D89-C89)*24,0))</f>
        <v>8</v>
      </c>
      <c r="L89" s="22" t="str">
        <f aca="false">IF(C89="","",CHOOSE(WEEKDAY(C89,2),"Mon","Tue","Wed","Thu","Fri","Sat","Sun"))</f>
        <v>Fri</v>
      </c>
    </row>
    <row r="90" customFormat="false" ht="15" hidden="false" customHeight="false" outlineLevel="0" collapsed="false">
      <c r="A90" s="20" t="n">
        <v>89</v>
      </c>
      <c r="B90" s="20" t="s">
        <v>69</v>
      </c>
      <c r="C90" s="21" t="n">
        <v>46276.5368055556</v>
      </c>
      <c r="D90" s="21" t="n">
        <v>46276.6201388889</v>
      </c>
      <c r="E90" s="20" t="n">
        <v>5</v>
      </c>
      <c r="F90" s="20" t="s">
        <v>58</v>
      </c>
      <c r="G90" s="20" t="s">
        <v>53</v>
      </c>
      <c r="H90" s="20" t="s">
        <v>64</v>
      </c>
      <c r="I90" s="20" t="n">
        <v>2</v>
      </c>
      <c r="J90" s="22" t="str">
        <f aca="false">IFERROR(INDEX(Categories!$B$2:$B$100,MATCH(E90,Categories!$A$2:$A$100,0)),"")</f>
        <v>Printer</v>
      </c>
      <c r="K90" s="22" t="n">
        <f aca="false">IF(OR(C90="",D90=""),"",ROUND((D90-C90)*24,0))</f>
        <v>2</v>
      </c>
      <c r="L90" s="22" t="str">
        <f aca="false">IF(C90="","",CHOOSE(WEEKDAY(C90,2),"Mon","Tue","Wed","Thu","Fri","Sat","Sun"))</f>
        <v>Fri</v>
      </c>
    </row>
    <row r="91" customFormat="false" ht="15" hidden="false" customHeight="false" outlineLevel="0" collapsed="false">
      <c r="A91" s="20" t="n">
        <v>90</v>
      </c>
      <c r="B91" s="20" t="s">
        <v>78</v>
      </c>
      <c r="C91" s="21" t="n">
        <v>46276.5569444444</v>
      </c>
      <c r="D91" s="21" t="n">
        <v>46276.8902777778</v>
      </c>
      <c r="E91" s="20" t="n">
        <v>2</v>
      </c>
      <c r="F91" s="20" t="s">
        <v>52</v>
      </c>
      <c r="G91" s="20" t="s">
        <v>53</v>
      </c>
      <c r="H91" s="20" t="s">
        <v>64</v>
      </c>
      <c r="I91" s="20" t="n">
        <v>2</v>
      </c>
      <c r="J91" s="22" t="str">
        <f aca="false">IFERROR(INDEX(Categories!$B$2:$B$100,MATCH(E91,Categories!$A$2:$A$100,0)),"")</f>
        <v>Hardware</v>
      </c>
      <c r="K91" s="22" t="n">
        <f aca="false">IF(OR(C91="",D91=""),"",ROUND((D91-C91)*24,0))</f>
        <v>8</v>
      </c>
      <c r="L91" s="22" t="str">
        <f aca="false">IF(C91="","",CHOOSE(WEEKDAY(C91,2),"Mon","Tue","Wed","Thu","Fri","Sat","Sun"))</f>
        <v>Fri</v>
      </c>
    </row>
    <row r="92" customFormat="false" ht="15" hidden="false" customHeight="false" outlineLevel="0" collapsed="false">
      <c r="A92" s="20" t="n">
        <v>91</v>
      </c>
      <c r="B92" s="20" t="s">
        <v>78</v>
      </c>
      <c r="C92" s="21" t="n">
        <v>46276.5979166667</v>
      </c>
      <c r="D92" s="21" t="n">
        <v>46277.0979166667</v>
      </c>
      <c r="E92" s="20" t="n">
        <v>2</v>
      </c>
      <c r="F92" s="20" t="s">
        <v>52</v>
      </c>
      <c r="G92" s="20" t="s">
        <v>53</v>
      </c>
      <c r="H92" s="20" t="s">
        <v>54</v>
      </c>
      <c r="I92" s="20" t="n">
        <v>3</v>
      </c>
      <c r="J92" s="22" t="str">
        <f aca="false">IFERROR(INDEX(Categories!$B$2:$B$100,MATCH(E92,Categories!$A$2:$A$100,0)),"")</f>
        <v>Hardware</v>
      </c>
      <c r="K92" s="22" t="n">
        <f aca="false">IF(OR(C92="",D92=""),"",ROUND((D92-C92)*24,0))</f>
        <v>12</v>
      </c>
      <c r="L92" s="22" t="str">
        <f aca="false">IF(C92="","",CHOOSE(WEEKDAY(C92,2),"Mon","Tue","Wed","Thu","Fri","Sat","Sun"))</f>
        <v>Fri</v>
      </c>
    </row>
    <row r="93" customFormat="false" ht="15" hidden="false" customHeight="false" outlineLevel="0" collapsed="false">
      <c r="A93" s="20" t="n">
        <v>92</v>
      </c>
      <c r="B93" s="20" t="s">
        <v>60</v>
      </c>
      <c r="C93" s="21" t="n">
        <v>46276.6798611111</v>
      </c>
      <c r="D93" s="21" t="n">
        <v>46276.8048611111</v>
      </c>
      <c r="E93" s="20" t="n">
        <v>1</v>
      </c>
      <c r="F93" s="20" t="s">
        <v>63</v>
      </c>
      <c r="G93" s="20" t="s">
        <v>53</v>
      </c>
      <c r="H93" s="20" t="s">
        <v>54</v>
      </c>
      <c r="I93" s="20" t="n">
        <v>3</v>
      </c>
      <c r="J93" s="22" t="str">
        <f aca="false">IFERROR(INDEX(Categories!$B$2:$B$100,MATCH(E93,Categories!$A$2:$A$100,0)),"")</f>
        <v>Network</v>
      </c>
      <c r="K93" s="22" t="n">
        <f aca="false">IF(OR(C93="",D93=""),"",ROUND((D93-C93)*24,0))</f>
        <v>3</v>
      </c>
      <c r="L93" s="22" t="str">
        <f aca="false">IF(C93="","",CHOOSE(WEEKDAY(C93,2),"Mon","Tue","Wed","Thu","Fri","Sat","Sun"))</f>
        <v>Fri</v>
      </c>
    </row>
    <row r="94" customFormat="false" ht="15" hidden="false" customHeight="false" outlineLevel="0" collapsed="false">
      <c r="A94" s="20" t="n">
        <v>93</v>
      </c>
      <c r="B94" s="20" t="s">
        <v>60</v>
      </c>
      <c r="C94" s="21" t="n">
        <v>46277.5722222222</v>
      </c>
      <c r="D94" s="21" t="n">
        <v>46277.7388888889</v>
      </c>
      <c r="E94" s="20" t="n">
        <v>1</v>
      </c>
      <c r="F94" s="20" t="s">
        <v>52</v>
      </c>
      <c r="G94" s="20" t="s">
        <v>53</v>
      </c>
      <c r="H94" s="20" t="s">
        <v>56</v>
      </c>
      <c r="I94" s="20" t="n">
        <v>3</v>
      </c>
      <c r="J94" s="22" t="str">
        <f aca="false">IFERROR(INDEX(Categories!$B$2:$B$100,MATCH(E94,Categories!$A$2:$A$100,0)),"")</f>
        <v>Network</v>
      </c>
      <c r="K94" s="22" t="n">
        <f aca="false">IF(OR(C94="",D94=""),"",ROUND((D94-C94)*24,0))</f>
        <v>4</v>
      </c>
      <c r="L94" s="22" t="str">
        <f aca="false">IF(C94="","",CHOOSE(WEEKDAY(C94,2),"Mon","Tue","Wed","Thu","Fri","Sat","Sun"))</f>
        <v>Sat</v>
      </c>
    </row>
    <row r="95" customFormat="false" ht="15" hidden="false" customHeight="false" outlineLevel="0" collapsed="false">
      <c r="A95" s="20" t="n">
        <v>94</v>
      </c>
      <c r="B95" s="20" t="s">
        <v>71</v>
      </c>
      <c r="C95" s="21" t="n">
        <v>46280.3527777778</v>
      </c>
      <c r="D95" s="21" t="n">
        <v>46280.4777777778</v>
      </c>
      <c r="E95" s="20" t="n">
        <v>4</v>
      </c>
      <c r="F95" s="20" t="s">
        <v>58</v>
      </c>
      <c r="G95" s="20" t="s">
        <v>53</v>
      </c>
      <c r="H95" s="20" t="s">
        <v>56</v>
      </c>
      <c r="I95" s="20" t="n">
        <v>2</v>
      </c>
      <c r="J95" s="22" t="str">
        <f aca="false">IFERROR(INDEX(Categories!$B$2:$B$100,MATCH(E95,Categories!$A$2:$A$100,0)),"")</f>
        <v>Account</v>
      </c>
      <c r="K95" s="22" t="n">
        <f aca="false">IF(OR(C95="",D95=""),"",ROUND((D95-C95)*24,0))</f>
        <v>3</v>
      </c>
      <c r="L95" s="22" t="str">
        <f aca="false">IF(C95="","",CHOOSE(WEEKDAY(C95,2),"Mon","Tue","Wed","Thu","Fri","Sat","Sun"))</f>
        <v>Tue</v>
      </c>
    </row>
    <row r="96" customFormat="false" ht="15" hidden="false" customHeight="false" outlineLevel="0" collapsed="false">
      <c r="A96" s="20" t="n">
        <v>95</v>
      </c>
      <c r="B96" s="20" t="s">
        <v>80</v>
      </c>
      <c r="C96" s="21" t="n">
        <v>46280.3902777778</v>
      </c>
      <c r="D96" s="21" t="n">
        <v>46280.4319444444</v>
      </c>
      <c r="E96" s="20" t="n">
        <v>1</v>
      </c>
      <c r="F96" s="20" t="s">
        <v>63</v>
      </c>
      <c r="G96" s="20" t="s">
        <v>53</v>
      </c>
      <c r="H96" s="20" t="s">
        <v>56</v>
      </c>
      <c r="I96" s="20" t="n">
        <v>3</v>
      </c>
      <c r="J96" s="22" t="str">
        <f aca="false">IFERROR(INDEX(Categories!$B$2:$B$100,MATCH(E96,Categories!$A$2:$A$100,0)),"")</f>
        <v>Network</v>
      </c>
      <c r="K96" s="22" t="n">
        <f aca="false">IF(OR(C96="",D96=""),"",ROUND((D96-C96)*24,0))</f>
        <v>1</v>
      </c>
      <c r="L96" s="22" t="str">
        <f aca="false">IF(C96="","",CHOOSE(WEEKDAY(C96,2),"Mon","Tue","Wed","Thu","Fri","Sat","Sun"))</f>
        <v>Tue</v>
      </c>
    </row>
    <row r="97" customFormat="false" ht="15" hidden="false" customHeight="false" outlineLevel="0" collapsed="false">
      <c r="A97" s="20" t="n">
        <v>96</v>
      </c>
      <c r="B97" s="20" t="s">
        <v>75</v>
      </c>
      <c r="C97" s="21" t="n">
        <v>46280.3951388889</v>
      </c>
      <c r="D97" s="21" t="n">
        <v>46280.5201388889</v>
      </c>
      <c r="E97" s="20" t="n">
        <v>3</v>
      </c>
      <c r="F97" s="20" t="s">
        <v>58</v>
      </c>
      <c r="G97" s="20" t="s">
        <v>53</v>
      </c>
      <c r="H97" s="20" t="s">
        <v>61</v>
      </c>
      <c r="I97" s="20" t="n">
        <v>2</v>
      </c>
      <c r="J97" s="22" t="str">
        <f aca="false">IFERROR(INDEX(Categories!$B$2:$B$100,MATCH(E97,Categories!$A$2:$A$100,0)),"")</f>
        <v>Software</v>
      </c>
      <c r="K97" s="22" t="n">
        <f aca="false">IF(OR(C97="",D97=""),"",ROUND((D97-C97)*24,0))</f>
        <v>3</v>
      </c>
      <c r="L97" s="22" t="str">
        <f aca="false">IF(C97="","",CHOOSE(WEEKDAY(C97,2),"Mon","Tue","Wed","Thu","Fri","Sat","Sun"))</f>
        <v>Tue</v>
      </c>
    </row>
    <row r="98" customFormat="false" ht="15" hidden="false" customHeight="false" outlineLevel="0" collapsed="false">
      <c r="A98" s="20" t="n">
        <v>97</v>
      </c>
      <c r="B98" s="20" t="s">
        <v>59</v>
      </c>
      <c r="C98" s="21" t="n">
        <v>46280.4951388889</v>
      </c>
      <c r="D98" s="21" t="n">
        <v>46281.0368055556</v>
      </c>
      <c r="E98" s="20" t="n">
        <v>2</v>
      </c>
      <c r="F98" s="20" t="s">
        <v>63</v>
      </c>
      <c r="G98" s="20" t="s">
        <v>53</v>
      </c>
      <c r="H98" s="20" t="s">
        <v>56</v>
      </c>
      <c r="I98" s="20" t="n">
        <v>3</v>
      </c>
      <c r="J98" s="22" t="str">
        <f aca="false">IFERROR(INDEX(Categories!$B$2:$B$100,MATCH(E98,Categories!$A$2:$A$100,0)),"")</f>
        <v>Hardware</v>
      </c>
      <c r="K98" s="22" t="n">
        <f aca="false">IF(OR(C98="",D98=""),"",ROUND((D98-C98)*24,0))</f>
        <v>13</v>
      </c>
      <c r="L98" s="22" t="str">
        <f aca="false">IF(C98="","",CHOOSE(WEEKDAY(C98,2),"Mon","Tue","Wed","Thu","Fri","Sat","Sun"))</f>
        <v>Tue</v>
      </c>
    </row>
    <row r="99" customFormat="false" ht="15" hidden="false" customHeight="false" outlineLevel="0" collapsed="false">
      <c r="A99" s="20" t="n">
        <v>98</v>
      </c>
      <c r="B99" s="20" t="s">
        <v>76</v>
      </c>
      <c r="C99" s="21" t="n">
        <v>46280.5090277778</v>
      </c>
      <c r="D99" s="21" t="n">
        <v>46280.5506944444</v>
      </c>
      <c r="E99" s="20" t="n">
        <v>3</v>
      </c>
      <c r="F99" s="20" t="s">
        <v>58</v>
      </c>
      <c r="G99" s="20" t="s">
        <v>53</v>
      </c>
      <c r="H99" s="20" t="s">
        <v>61</v>
      </c>
      <c r="I99" s="20" t="n">
        <v>3</v>
      </c>
      <c r="J99" s="22" t="str">
        <f aca="false">IFERROR(INDEX(Categories!$B$2:$B$100,MATCH(E99,Categories!$A$2:$A$100,0)),"")</f>
        <v>Software</v>
      </c>
      <c r="K99" s="22" t="n">
        <f aca="false">IF(OR(C99="",D99=""),"",ROUND((D99-C99)*24,0))</f>
        <v>1</v>
      </c>
      <c r="L99" s="22" t="str">
        <f aca="false">IF(C99="","",CHOOSE(WEEKDAY(C99,2),"Mon","Tue","Wed","Thu","Fri","Sat","Sun"))</f>
        <v>Tue</v>
      </c>
    </row>
    <row r="100" customFormat="false" ht="15" hidden="false" customHeight="false" outlineLevel="0" collapsed="false">
      <c r="A100" s="20" t="n">
        <v>99</v>
      </c>
      <c r="B100" s="20" t="s">
        <v>69</v>
      </c>
      <c r="C100" s="21" t="n">
        <v>46280.6479166667</v>
      </c>
      <c r="D100" s="21" t="n">
        <v>46280.7729166667</v>
      </c>
      <c r="E100" s="20" t="n">
        <v>5</v>
      </c>
      <c r="F100" s="20" t="s">
        <v>52</v>
      </c>
      <c r="G100" s="20" t="s">
        <v>53</v>
      </c>
      <c r="H100" s="20" t="s">
        <v>72</v>
      </c>
      <c r="I100" s="20" t="n">
        <v>3</v>
      </c>
      <c r="J100" s="22" t="str">
        <f aca="false">IFERROR(INDEX(Categories!$B$2:$B$100,MATCH(E100,Categories!$A$2:$A$100,0)),"")</f>
        <v>Printer</v>
      </c>
      <c r="K100" s="22" t="n">
        <f aca="false">IF(OR(C100="",D100=""),"",ROUND((D100-C100)*24,0))</f>
        <v>3</v>
      </c>
      <c r="L100" s="22" t="str">
        <f aca="false">IF(C100="","",CHOOSE(WEEKDAY(C100,2),"Mon","Tue","Wed","Thu","Fri","Sat","Sun"))</f>
        <v>Tue</v>
      </c>
    </row>
    <row r="101" customFormat="false" ht="15" hidden="false" customHeight="false" outlineLevel="0" collapsed="false">
      <c r="A101" s="20" t="n">
        <v>100</v>
      </c>
      <c r="B101" s="20" t="s">
        <v>68</v>
      </c>
      <c r="C101" s="21" t="n">
        <v>46280.6965277778</v>
      </c>
      <c r="D101" s="21" t="n">
        <v>46280.7381944444</v>
      </c>
      <c r="E101" s="20" t="n">
        <v>3</v>
      </c>
      <c r="F101" s="20" t="s">
        <v>58</v>
      </c>
      <c r="G101" s="20" t="s">
        <v>53</v>
      </c>
      <c r="H101" s="20" t="s">
        <v>61</v>
      </c>
      <c r="I101" s="20" t="n">
        <v>1</v>
      </c>
      <c r="J101" s="22" t="str">
        <f aca="false">IFERROR(INDEX(Categories!$B$2:$B$100,MATCH(E101,Categories!$A$2:$A$100,0)),"")</f>
        <v>Software</v>
      </c>
      <c r="K101" s="22" t="n">
        <f aca="false">IF(OR(C101="",D101=""),"",ROUND((D101-C101)*24,0))</f>
        <v>1</v>
      </c>
      <c r="L101" s="22" t="str">
        <f aca="false">IF(C101="","",CHOOSE(WEEKDAY(C101,2),"Mon","Tue","Wed","Thu","Fri","Sat","Sun"))</f>
        <v>Tue</v>
      </c>
    </row>
    <row r="102" customFormat="false" ht="15" hidden="false" customHeight="false" outlineLevel="0" collapsed="false">
      <c r="A102" s="20" t="n">
        <v>101</v>
      </c>
      <c r="B102" s="20" t="s">
        <v>55</v>
      </c>
      <c r="C102" s="21" t="n">
        <v>46281.45625</v>
      </c>
      <c r="D102" s="21" t="n">
        <v>46281.7895833333</v>
      </c>
      <c r="E102" s="20" t="n">
        <v>1</v>
      </c>
      <c r="F102" s="20" t="s">
        <v>52</v>
      </c>
      <c r="G102" s="20" t="s">
        <v>53</v>
      </c>
      <c r="H102" s="20" t="s">
        <v>61</v>
      </c>
      <c r="I102" s="20" t="n">
        <v>2</v>
      </c>
      <c r="J102" s="22" t="str">
        <f aca="false">IFERROR(INDEX(Categories!$B$2:$B$100,MATCH(E102,Categories!$A$2:$A$100,0)),"")</f>
        <v>Network</v>
      </c>
      <c r="K102" s="22" t="n">
        <f aca="false">IF(OR(C102="",D102=""),"",ROUND((D102-C102)*24,0))</f>
        <v>8</v>
      </c>
      <c r="L102" s="22" t="str">
        <f aca="false">IF(C102="","",CHOOSE(WEEKDAY(C102,2),"Mon","Tue","Wed","Thu","Fri","Sat","Sun"))</f>
        <v>Wed</v>
      </c>
    </row>
    <row r="103" customFormat="false" ht="15" hidden="false" customHeight="false" outlineLevel="0" collapsed="false">
      <c r="A103" s="20" t="n">
        <v>102</v>
      </c>
      <c r="B103" s="20" t="s">
        <v>79</v>
      </c>
      <c r="C103" s="21" t="n">
        <v>46281.4979166667</v>
      </c>
      <c r="D103" s="21" t="n">
        <v>46281.5395833333</v>
      </c>
      <c r="E103" s="20" t="n">
        <v>1</v>
      </c>
      <c r="F103" s="20" t="s">
        <v>63</v>
      </c>
      <c r="G103" s="20" t="s">
        <v>53</v>
      </c>
      <c r="H103" s="20" t="s">
        <v>61</v>
      </c>
      <c r="I103" s="20" t="n">
        <v>3</v>
      </c>
      <c r="J103" s="22" t="str">
        <f aca="false">IFERROR(INDEX(Categories!$B$2:$B$100,MATCH(E103,Categories!$A$2:$A$100,0)),"")</f>
        <v>Network</v>
      </c>
      <c r="K103" s="22" t="n">
        <f aca="false">IF(OR(C103="",D103=""),"",ROUND((D103-C103)*24,0))</f>
        <v>1</v>
      </c>
      <c r="L103" s="22" t="str">
        <f aca="false">IF(C103="","",CHOOSE(WEEKDAY(C103,2),"Mon","Tue","Wed","Thu","Fri","Sat","Sun"))</f>
        <v>Wed</v>
      </c>
    </row>
    <row r="104" customFormat="false" ht="15" hidden="false" customHeight="false" outlineLevel="0" collapsed="false">
      <c r="A104" s="20" t="n">
        <v>103</v>
      </c>
      <c r="B104" s="20" t="s">
        <v>80</v>
      </c>
      <c r="C104" s="21" t="n">
        <v>46282.5638888889</v>
      </c>
      <c r="D104" s="21" t="n">
        <v>46282.6888888889</v>
      </c>
      <c r="E104" s="20" t="n">
        <v>1</v>
      </c>
      <c r="F104" s="20" t="s">
        <v>63</v>
      </c>
      <c r="G104" s="20" t="s">
        <v>53</v>
      </c>
      <c r="H104" s="20" t="s">
        <v>54</v>
      </c>
      <c r="I104" s="20" t="n">
        <v>1</v>
      </c>
      <c r="J104" s="22" t="str">
        <f aca="false">IFERROR(INDEX(Categories!$B$2:$B$100,MATCH(E104,Categories!$A$2:$A$100,0)),"")</f>
        <v>Network</v>
      </c>
      <c r="K104" s="22" t="n">
        <f aca="false">IF(OR(C104="",D104=""),"",ROUND((D104-C104)*24,0))</f>
        <v>3</v>
      </c>
      <c r="L104" s="22" t="str">
        <f aca="false">IF(C104="","",CHOOSE(WEEKDAY(C104,2),"Mon","Tue","Wed","Thu","Fri","Sat","Sun"))</f>
        <v>Thu</v>
      </c>
    </row>
    <row r="105" customFormat="false" ht="15" hidden="false" customHeight="false" outlineLevel="0" collapsed="false">
      <c r="A105" s="20" t="n">
        <v>104</v>
      </c>
      <c r="B105" s="20" t="s">
        <v>67</v>
      </c>
      <c r="C105" s="21" t="n">
        <v>46282.6284722222</v>
      </c>
      <c r="D105" s="21" t="n">
        <v>46283.1701388889</v>
      </c>
      <c r="E105" s="20" t="n">
        <v>2</v>
      </c>
      <c r="F105" s="20" t="s">
        <v>52</v>
      </c>
      <c r="G105" s="20" t="s">
        <v>53</v>
      </c>
      <c r="H105" s="20" t="s">
        <v>72</v>
      </c>
      <c r="I105" s="20" t="n">
        <v>2</v>
      </c>
      <c r="J105" s="22" t="str">
        <f aca="false">IFERROR(INDEX(Categories!$B$2:$B$100,MATCH(E105,Categories!$A$2:$A$100,0)),"")</f>
        <v>Hardware</v>
      </c>
      <c r="K105" s="22" t="n">
        <f aca="false">IF(OR(C105="",D105=""),"",ROUND((D105-C105)*24,0))</f>
        <v>13</v>
      </c>
      <c r="L105" s="22" t="str">
        <f aca="false">IF(C105="","",CHOOSE(WEEKDAY(C105,2),"Mon","Tue","Wed","Thu","Fri","Sat","Sun"))</f>
        <v>Thu</v>
      </c>
    </row>
    <row r="106" customFormat="false" ht="15" hidden="false" customHeight="false" outlineLevel="0" collapsed="false">
      <c r="A106" s="20" t="n">
        <v>105</v>
      </c>
      <c r="B106" s="20" t="s">
        <v>57</v>
      </c>
      <c r="C106" s="21" t="n">
        <v>46284.5375</v>
      </c>
      <c r="D106" s="21" t="n">
        <v>46284.5791666667</v>
      </c>
      <c r="E106" s="20" t="n">
        <v>3</v>
      </c>
      <c r="F106" s="20" t="s">
        <v>63</v>
      </c>
      <c r="G106" s="20" t="s">
        <v>53</v>
      </c>
      <c r="H106" s="20" t="s">
        <v>61</v>
      </c>
      <c r="I106" s="20" t="n">
        <v>1</v>
      </c>
      <c r="J106" s="22" t="str">
        <f aca="false">IFERROR(INDEX(Categories!$B$2:$B$100,MATCH(E106,Categories!$A$2:$A$100,0)),"")</f>
        <v>Software</v>
      </c>
      <c r="K106" s="22" t="n">
        <f aca="false">IF(OR(C106="",D106=""),"",ROUND((D106-C106)*24,0))</f>
        <v>1</v>
      </c>
      <c r="L106" s="22" t="str">
        <f aca="false">IF(C106="","",CHOOSE(WEEKDAY(C106,2),"Mon","Tue","Wed","Thu","Fri","Sat","Sun"))</f>
        <v>Sat</v>
      </c>
    </row>
    <row r="107" customFormat="false" ht="15" hidden="false" customHeight="false" outlineLevel="0" collapsed="false">
      <c r="A107" s="20" t="n">
        <v>106</v>
      </c>
      <c r="B107" s="20" t="s">
        <v>71</v>
      </c>
      <c r="C107" s="21" t="n">
        <v>46286.3604166667</v>
      </c>
      <c r="D107" s="21" t="n">
        <v>46286.4020833333</v>
      </c>
      <c r="E107" s="20" t="n">
        <v>4</v>
      </c>
      <c r="F107" s="20" t="s">
        <v>52</v>
      </c>
      <c r="G107" s="20" t="s">
        <v>53</v>
      </c>
      <c r="H107" s="20" t="s">
        <v>54</v>
      </c>
      <c r="I107" s="20" t="n">
        <v>3</v>
      </c>
      <c r="J107" s="22" t="str">
        <f aca="false">IFERROR(INDEX(Categories!$B$2:$B$100,MATCH(E107,Categories!$A$2:$A$100,0)),"")</f>
        <v>Account</v>
      </c>
      <c r="K107" s="22" t="n">
        <f aca="false">IF(OR(C107="",D107=""),"",ROUND((D107-C107)*24,0))</f>
        <v>1</v>
      </c>
      <c r="L107" s="22" t="str">
        <f aca="false">IF(C107="","",CHOOSE(WEEKDAY(C107,2),"Mon","Tue","Wed","Thu","Fri","Sat","Sun"))</f>
        <v>Mon</v>
      </c>
    </row>
    <row r="108" customFormat="false" ht="15" hidden="false" customHeight="false" outlineLevel="0" collapsed="false">
      <c r="A108" s="20" t="n">
        <v>107</v>
      </c>
      <c r="B108" s="20" t="s">
        <v>75</v>
      </c>
      <c r="C108" s="21" t="n">
        <v>46286.3916666667</v>
      </c>
      <c r="D108" s="21" t="n">
        <v>46286.6416666667</v>
      </c>
      <c r="E108" s="20" t="n">
        <v>3</v>
      </c>
      <c r="F108" s="20" t="s">
        <v>58</v>
      </c>
      <c r="G108" s="20" t="s">
        <v>53</v>
      </c>
      <c r="H108" s="20" t="s">
        <v>72</v>
      </c>
      <c r="I108" s="20" t="n">
        <v>3</v>
      </c>
      <c r="J108" s="22" t="str">
        <f aca="false">IFERROR(INDEX(Categories!$B$2:$B$100,MATCH(E108,Categories!$A$2:$A$100,0)),"")</f>
        <v>Software</v>
      </c>
      <c r="K108" s="22" t="n">
        <f aca="false">IF(OR(C108="",D108=""),"",ROUND((D108-C108)*24,0))</f>
        <v>6</v>
      </c>
      <c r="L108" s="22" t="str">
        <f aca="false">IF(C108="","",CHOOSE(WEEKDAY(C108,2),"Mon","Tue","Wed","Thu","Fri","Sat","Sun"))</f>
        <v>Mon</v>
      </c>
    </row>
    <row r="109" customFormat="false" ht="15" hidden="false" customHeight="false" outlineLevel="0" collapsed="false">
      <c r="A109" s="20" t="n">
        <v>108</v>
      </c>
      <c r="B109" s="20" t="s">
        <v>74</v>
      </c>
      <c r="C109" s="21" t="n">
        <v>46286.4319444444</v>
      </c>
      <c r="D109" s="21" t="n">
        <v>46286.5986111111</v>
      </c>
      <c r="E109" s="20" t="n">
        <v>5</v>
      </c>
      <c r="F109" s="20" t="s">
        <v>63</v>
      </c>
      <c r="G109" s="20" t="s">
        <v>53</v>
      </c>
      <c r="H109" s="20" t="s">
        <v>64</v>
      </c>
      <c r="I109" s="20" t="n">
        <v>2</v>
      </c>
      <c r="J109" s="22" t="str">
        <f aca="false">IFERROR(INDEX(Categories!$B$2:$B$100,MATCH(E109,Categories!$A$2:$A$100,0)),"")</f>
        <v>Printer</v>
      </c>
      <c r="K109" s="22" t="n">
        <f aca="false">IF(OR(C109="",D109=""),"",ROUND((D109-C109)*24,0))</f>
        <v>4</v>
      </c>
      <c r="L109" s="22" t="str">
        <f aca="false">IF(C109="","",CHOOSE(WEEKDAY(C109,2),"Mon","Tue","Wed","Thu","Fri","Sat","Sun"))</f>
        <v>Mon</v>
      </c>
    </row>
    <row r="110" customFormat="false" ht="15" hidden="false" customHeight="false" outlineLevel="0" collapsed="false">
      <c r="A110" s="20" t="n">
        <v>109</v>
      </c>
      <c r="B110" s="20" t="s">
        <v>78</v>
      </c>
      <c r="C110" s="21" t="n">
        <v>46286.4722222222</v>
      </c>
      <c r="D110" s="21" t="n">
        <v>46286.7222222222</v>
      </c>
      <c r="E110" s="20" t="n">
        <v>2</v>
      </c>
      <c r="F110" s="20" t="s">
        <v>58</v>
      </c>
      <c r="G110" s="20" t="s">
        <v>53</v>
      </c>
      <c r="H110" s="20" t="s">
        <v>56</v>
      </c>
      <c r="I110" s="20" t="n">
        <v>2</v>
      </c>
      <c r="J110" s="22" t="str">
        <f aca="false">IFERROR(INDEX(Categories!$B$2:$B$100,MATCH(E110,Categories!$A$2:$A$100,0)),"")</f>
        <v>Hardware</v>
      </c>
      <c r="K110" s="22" t="n">
        <f aca="false">IF(OR(C110="",D110=""),"",ROUND((D110-C110)*24,0))</f>
        <v>6</v>
      </c>
      <c r="L110" s="22" t="str">
        <f aca="false">IF(C110="","",CHOOSE(WEEKDAY(C110,2),"Mon","Tue","Wed","Thu","Fri","Sat","Sun"))</f>
        <v>Mon</v>
      </c>
    </row>
    <row r="111" customFormat="false" ht="15" hidden="false" customHeight="false" outlineLevel="0" collapsed="false">
      <c r="A111" s="20" t="n">
        <v>110</v>
      </c>
      <c r="B111" s="20" t="s">
        <v>65</v>
      </c>
      <c r="C111" s="21" t="n">
        <v>46286.4743055556</v>
      </c>
      <c r="D111" s="21" t="n">
        <v>46286.5576388889</v>
      </c>
      <c r="E111" s="20" t="n">
        <v>4</v>
      </c>
      <c r="F111" s="20" t="s">
        <v>52</v>
      </c>
      <c r="G111" s="20" t="s">
        <v>53</v>
      </c>
      <c r="H111" s="20" t="s">
        <v>72</v>
      </c>
      <c r="I111" s="20" t="n">
        <v>2</v>
      </c>
      <c r="J111" s="22" t="str">
        <f aca="false">IFERROR(INDEX(Categories!$B$2:$B$100,MATCH(E111,Categories!$A$2:$A$100,0)),"")</f>
        <v>Account</v>
      </c>
      <c r="K111" s="22" t="n">
        <f aca="false">IF(OR(C111="",D111=""),"",ROUND((D111-C111)*24,0))</f>
        <v>2</v>
      </c>
      <c r="L111" s="22" t="str">
        <f aca="false">IF(C111="","",CHOOSE(WEEKDAY(C111,2),"Mon","Tue","Wed","Thu","Fri","Sat","Sun"))</f>
        <v>Mon</v>
      </c>
    </row>
    <row r="112" customFormat="false" ht="15" hidden="false" customHeight="false" outlineLevel="0" collapsed="false">
      <c r="A112" s="20" t="n">
        <v>111</v>
      </c>
      <c r="B112" s="20" t="s">
        <v>66</v>
      </c>
      <c r="C112" s="21" t="n">
        <v>46287.3777777778</v>
      </c>
      <c r="D112" s="21" t="n">
        <v>46287.4194444444</v>
      </c>
      <c r="E112" s="20" t="n">
        <v>4</v>
      </c>
      <c r="F112" s="20" t="s">
        <v>52</v>
      </c>
      <c r="G112" s="20" t="s">
        <v>53</v>
      </c>
      <c r="H112" s="20" t="s">
        <v>54</v>
      </c>
      <c r="I112" s="20" t="n">
        <v>2</v>
      </c>
      <c r="J112" s="22" t="str">
        <f aca="false">IFERROR(INDEX(Categories!$B$2:$B$100,MATCH(E112,Categories!$A$2:$A$100,0)),"")</f>
        <v>Account</v>
      </c>
      <c r="K112" s="22" t="n">
        <f aca="false">IF(OR(C112="",D112=""),"",ROUND((D112-C112)*24,0))</f>
        <v>1</v>
      </c>
      <c r="L112" s="22" t="str">
        <f aca="false">IF(C112="","",CHOOSE(WEEKDAY(C112,2),"Mon","Tue","Wed","Thu","Fri","Sat","Sun"))</f>
        <v>Tue</v>
      </c>
    </row>
    <row r="113" customFormat="false" ht="15" hidden="false" customHeight="false" outlineLevel="0" collapsed="false">
      <c r="A113" s="20" t="n">
        <v>112</v>
      </c>
      <c r="B113" s="20" t="s">
        <v>74</v>
      </c>
      <c r="C113" s="21" t="n">
        <v>46287.4125</v>
      </c>
      <c r="D113" s="21" t="n">
        <v>46287.4958333333</v>
      </c>
      <c r="E113" s="20" t="n">
        <v>5</v>
      </c>
      <c r="F113" s="20" t="s">
        <v>52</v>
      </c>
      <c r="G113" s="20" t="s">
        <v>53</v>
      </c>
      <c r="H113" s="20" t="s">
        <v>72</v>
      </c>
      <c r="I113" s="20" t="n">
        <v>2</v>
      </c>
      <c r="J113" s="22" t="str">
        <f aca="false">IFERROR(INDEX(Categories!$B$2:$B$100,MATCH(E113,Categories!$A$2:$A$100,0)),"")</f>
        <v>Printer</v>
      </c>
      <c r="K113" s="22" t="n">
        <f aca="false">IF(OR(C113="",D113=""),"",ROUND((D113-C113)*24,0))</f>
        <v>2</v>
      </c>
      <c r="L113" s="22" t="str">
        <f aca="false">IF(C113="","",CHOOSE(WEEKDAY(C113,2),"Mon","Tue","Wed","Thu","Fri","Sat","Sun"))</f>
        <v>Tue</v>
      </c>
    </row>
    <row r="114" customFormat="false" ht="15" hidden="false" customHeight="false" outlineLevel="0" collapsed="false">
      <c r="A114" s="20" t="n">
        <v>113</v>
      </c>
      <c r="B114" s="20" t="s">
        <v>55</v>
      </c>
      <c r="C114" s="21" t="n">
        <v>46287.5986111111</v>
      </c>
      <c r="D114" s="21" t="n">
        <v>46287.6819444444</v>
      </c>
      <c r="E114" s="20" t="n">
        <v>1</v>
      </c>
      <c r="F114" s="20" t="s">
        <v>63</v>
      </c>
      <c r="G114" s="20" t="s">
        <v>53</v>
      </c>
      <c r="H114" s="20" t="s">
        <v>56</v>
      </c>
      <c r="I114" s="20" t="n">
        <v>3</v>
      </c>
      <c r="J114" s="22" t="str">
        <f aca="false">IFERROR(INDEX(Categories!$B$2:$B$100,MATCH(E114,Categories!$A$2:$A$100,0)),"")</f>
        <v>Network</v>
      </c>
      <c r="K114" s="22" t="n">
        <f aca="false">IF(OR(C114="",D114=""),"",ROUND((D114-C114)*24,0))</f>
        <v>2</v>
      </c>
      <c r="L114" s="22" t="str">
        <f aca="false">IF(C114="","",CHOOSE(WEEKDAY(C114,2),"Mon","Tue","Wed","Thu","Fri","Sat","Sun"))</f>
        <v>Tue</v>
      </c>
    </row>
    <row r="115" customFormat="false" ht="15" hidden="false" customHeight="false" outlineLevel="0" collapsed="false">
      <c r="A115" s="20" t="n">
        <v>114</v>
      </c>
      <c r="B115" s="20" t="s">
        <v>80</v>
      </c>
      <c r="C115" s="21" t="n">
        <v>46288.3527777778</v>
      </c>
      <c r="D115" s="21" t="n">
        <v>46288.3944444444</v>
      </c>
      <c r="E115" s="20" t="n">
        <v>1</v>
      </c>
      <c r="F115" s="20" t="s">
        <v>58</v>
      </c>
      <c r="G115" s="20" t="s">
        <v>53</v>
      </c>
      <c r="H115" s="20" t="s">
        <v>61</v>
      </c>
      <c r="I115" s="20" t="n">
        <v>2</v>
      </c>
      <c r="J115" s="22" t="str">
        <f aca="false">IFERROR(INDEX(Categories!$B$2:$B$100,MATCH(E115,Categories!$A$2:$A$100,0)),"")</f>
        <v>Network</v>
      </c>
      <c r="K115" s="22" t="n">
        <f aca="false">IF(OR(C115="",D115=""),"",ROUND((D115-C115)*24,0))</f>
        <v>1</v>
      </c>
      <c r="L115" s="22" t="str">
        <f aca="false">IF(C115="","",CHOOSE(WEEKDAY(C115,2),"Mon","Tue","Wed","Thu","Fri","Sat","Sun"))</f>
        <v>Wed</v>
      </c>
    </row>
    <row r="116" customFormat="false" ht="15" hidden="false" customHeight="false" outlineLevel="0" collapsed="false">
      <c r="A116" s="20" t="n">
        <v>115</v>
      </c>
      <c r="B116" s="20" t="s">
        <v>74</v>
      </c>
      <c r="C116" s="21" t="n">
        <v>46288.5180555556</v>
      </c>
      <c r="D116" s="21" t="n">
        <v>46288.6847222222</v>
      </c>
      <c r="E116" s="20" t="n">
        <v>5</v>
      </c>
      <c r="F116" s="20" t="s">
        <v>58</v>
      </c>
      <c r="G116" s="20" t="s">
        <v>53</v>
      </c>
      <c r="H116" s="20" t="s">
        <v>56</v>
      </c>
      <c r="I116" s="20" t="n">
        <v>3</v>
      </c>
      <c r="J116" s="22" t="str">
        <f aca="false">IFERROR(INDEX(Categories!$B$2:$B$100,MATCH(E116,Categories!$A$2:$A$100,0)),"")</f>
        <v>Printer</v>
      </c>
      <c r="K116" s="22" t="n">
        <f aca="false">IF(OR(C116="",D116=""),"",ROUND((D116-C116)*24,0))</f>
        <v>4</v>
      </c>
      <c r="L116" s="22" t="str">
        <f aca="false">IF(C116="","",CHOOSE(WEEKDAY(C116,2),"Mon","Tue","Wed","Thu","Fri","Sat","Sun"))</f>
        <v>Wed</v>
      </c>
    </row>
    <row r="117" customFormat="false" ht="15" hidden="false" customHeight="false" outlineLevel="0" collapsed="false">
      <c r="A117" s="20" t="n">
        <v>116</v>
      </c>
      <c r="B117" s="20" t="s">
        <v>73</v>
      </c>
      <c r="C117" s="21" t="n">
        <v>46288.6673611111</v>
      </c>
      <c r="D117" s="21" t="n">
        <v>46289.0840277778</v>
      </c>
      <c r="E117" s="20" t="n">
        <v>1</v>
      </c>
      <c r="F117" s="20" t="s">
        <v>52</v>
      </c>
      <c r="G117" s="20" t="s">
        <v>53</v>
      </c>
      <c r="H117" s="20" t="s">
        <v>56</v>
      </c>
      <c r="I117" s="20" t="n">
        <v>1</v>
      </c>
      <c r="J117" s="22" t="str">
        <f aca="false">IFERROR(INDEX(Categories!$B$2:$B$100,MATCH(E117,Categories!$A$2:$A$100,0)),"")</f>
        <v>Network</v>
      </c>
      <c r="K117" s="22" t="n">
        <f aca="false">IF(OR(C117="",D117=""),"",ROUND((D117-C117)*24,0))</f>
        <v>10</v>
      </c>
      <c r="L117" s="22" t="str">
        <f aca="false">IF(C117="","",CHOOSE(WEEKDAY(C117,2),"Mon","Tue","Wed","Thu","Fri","Sat","Sun"))</f>
        <v>Wed</v>
      </c>
    </row>
    <row r="118" customFormat="false" ht="15" hidden="false" customHeight="false" outlineLevel="0" collapsed="false">
      <c r="A118" s="20" t="n">
        <v>117</v>
      </c>
      <c r="B118" s="20" t="s">
        <v>51</v>
      </c>
      <c r="C118" s="21" t="n">
        <v>46290.5368055556</v>
      </c>
      <c r="D118" s="21" t="n">
        <v>46290.5784722222</v>
      </c>
      <c r="E118" s="20" t="n">
        <v>4</v>
      </c>
      <c r="F118" s="20" t="s">
        <v>52</v>
      </c>
      <c r="G118" s="20" t="s">
        <v>53</v>
      </c>
      <c r="H118" s="20" t="s">
        <v>61</v>
      </c>
      <c r="I118" s="20" t="n">
        <v>1</v>
      </c>
      <c r="J118" s="22" t="str">
        <f aca="false">IFERROR(INDEX(Categories!$B$2:$B$100,MATCH(E118,Categories!$A$2:$A$100,0)),"")</f>
        <v>Account</v>
      </c>
      <c r="K118" s="22" t="n">
        <f aca="false">IF(OR(C118="",D118=""),"",ROUND((D118-C118)*24,0))</f>
        <v>1</v>
      </c>
      <c r="L118" s="22" t="str">
        <f aca="false">IF(C118="","",CHOOSE(WEEKDAY(C118,2),"Mon","Tue","Wed","Thu","Fri","Sat","Sun"))</f>
        <v>Fri</v>
      </c>
    </row>
    <row r="119" customFormat="false" ht="15" hidden="false" customHeight="false" outlineLevel="0" collapsed="false">
      <c r="A119" s="20" t="n">
        <v>118</v>
      </c>
      <c r="B119" s="20" t="s">
        <v>60</v>
      </c>
      <c r="C119" s="21" t="n">
        <v>46291.4138888889</v>
      </c>
      <c r="D119" s="21" t="n">
        <v>46291.6638888889</v>
      </c>
      <c r="E119" s="20" t="n">
        <v>1</v>
      </c>
      <c r="F119" s="20" t="s">
        <v>63</v>
      </c>
      <c r="G119" s="20" t="s">
        <v>53</v>
      </c>
      <c r="H119" s="20" t="s">
        <v>61</v>
      </c>
      <c r="I119" s="20" t="n">
        <v>1</v>
      </c>
      <c r="J119" s="22" t="str">
        <f aca="false">IFERROR(INDEX(Categories!$B$2:$B$100,MATCH(E119,Categories!$A$2:$A$100,0)),"")</f>
        <v>Network</v>
      </c>
      <c r="K119" s="22" t="n">
        <f aca="false">IF(OR(C119="",D119=""),"",ROUND((D119-C119)*24,0))</f>
        <v>6</v>
      </c>
      <c r="L119" s="22" t="str">
        <f aca="false">IF(C119="","",CHOOSE(WEEKDAY(C119,2),"Mon","Tue","Wed","Thu","Fri","Sat","Sun"))</f>
        <v>Sat</v>
      </c>
    </row>
    <row r="120" customFormat="false" ht="15" hidden="false" customHeight="false" outlineLevel="0" collapsed="false">
      <c r="A120" s="20" t="n">
        <v>119</v>
      </c>
      <c r="B120" s="20" t="s">
        <v>81</v>
      </c>
      <c r="C120" s="21" t="n">
        <v>46291.4847222222</v>
      </c>
      <c r="D120" s="21" t="n">
        <v>46291.7347222222</v>
      </c>
      <c r="E120" s="20" t="n">
        <v>3</v>
      </c>
      <c r="F120" s="20" t="s">
        <v>52</v>
      </c>
      <c r="G120" s="20" t="s">
        <v>53</v>
      </c>
      <c r="H120" s="20" t="s">
        <v>64</v>
      </c>
      <c r="I120" s="20" t="n">
        <v>1</v>
      </c>
      <c r="J120" s="22" t="str">
        <f aca="false">IFERROR(INDEX(Categories!$B$2:$B$100,MATCH(E120,Categories!$A$2:$A$100,0)),"")</f>
        <v>Software</v>
      </c>
      <c r="K120" s="22" t="n">
        <f aca="false">IF(OR(C120="",D120=""),"",ROUND((D120-C120)*24,0))</f>
        <v>6</v>
      </c>
      <c r="L120" s="22" t="str">
        <f aca="false">IF(C120="","",CHOOSE(WEEKDAY(C120,2),"Mon","Tue","Wed","Thu","Fri","Sat","Sun"))</f>
        <v>Sat</v>
      </c>
    </row>
    <row r="121" customFormat="false" ht="15" hidden="false" customHeight="false" outlineLevel="0" collapsed="false">
      <c r="A121" s="20" t="n">
        <v>120</v>
      </c>
      <c r="B121" s="20" t="s">
        <v>62</v>
      </c>
      <c r="C121" s="21" t="n">
        <v>46292.3993055556</v>
      </c>
      <c r="D121" s="21" t="n">
        <v>46292.4409722222</v>
      </c>
      <c r="E121" s="20" t="n">
        <v>4</v>
      </c>
      <c r="F121" s="20" t="s">
        <v>58</v>
      </c>
      <c r="G121" s="20" t="s">
        <v>53</v>
      </c>
      <c r="H121" s="20" t="s">
        <v>72</v>
      </c>
      <c r="I121" s="20" t="n">
        <v>3</v>
      </c>
      <c r="J121" s="22" t="str">
        <f aca="false">IFERROR(INDEX(Categories!$B$2:$B$100,MATCH(E121,Categories!$A$2:$A$100,0)),"")</f>
        <v>Account</v>
      </c>
      <c r="K121" s="22" t="n">
        <f aca="false">IF(OR(C121="",D121=""),"",ROUND((D121-C121)*24,0))</f>
        <v>1</v>
      </c>
      <c r="L121" s="22" t="str">
        <f aca="false">IF(C121="","",CHOOSE(WEEKDAY(C121,2),"Mon","Tue","Wed","Thu","Fri","Sat","Sun"))</f>
        <v>Sun</v>
      </c>
    </row>
  </sheetData>
  <autoFilter ref="A1:L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5" t="s">
        <v>83</v>
      </c>
      <c r="B1" s="15" t="s">
        <v>84</v>
      </c>
    </row>
    <row r="2" customFormat="false" ht="15" hidden="false" customHeight="false" outlineLevel="0" collapsed="false">
      <c r="A2" s="20" t="n">
        <v>1</v>
      </c>
      <c r="B2" s="20" t="s">
        <v>85</v>
      </c>
    </row>
    <row r="3" customFormat="false" ht="15" hidden="false" customHeight="false" outlineLevel="0" collapsed="false">
      <c r="A3" s="20" t="n">
        <v>2</v>
      </c>
      <c r="B3" s="20" t="s">
        <v>86</v>
      </c>
    </row>
    <row r="4" customFormat="false" ht="15" hidden="false" customHeight="false" outlineLevel="0" collapsed="false">
      <c r="A4" s="20" t="n">
        <v>3</v>
      </c>
      <c r="B4" s="20" t="s">
        <v>87</v>
      </c>
    </row>
    <row r="5" customFormat="false" ht="15" hidden="false" customHeight="false" outlineLevel="0" collapsed="false">
      <c r="A5" s="20" t="n">
        <v>4</v>
      </c>
      <c r="B5" s="20" t="s">
        <v>88</v>
      </c>
    </row>
    <row r="6" customFormat="false" ht="15" hidden="false" customHeight="false" outlineLevel="0" collapsed="false">
      <c r="A6" s="20" t="n">
        <v>5</v>
      </c>
      <c r="B6" s="2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5" t="s">
        <v>83</v>
      </c>
      <c r="B1" s="15" t="s">
        <v>84</v>
      </c>
    </row>
    <row r="2" customFormat="false" ht="15" hidden="false" customHeight="false" outlineLevel="0" collapsed="false">
      <c r="A2" s="20" t="n">
        <v>1</v>
      </c>
      <c r="B2" s="20" t="s">
        <v>90</v>
      </c>
    </row>
    <row r="3" customFormat="false" ht="15" hidden="false" customHeight="false" outlineLevel="0" collapsed="false">
      <c r="A3" s="20" t="n">
        <v>2</v>
      </c>
      <c r="B3" s="20" t="s">
        <v>91</v>
      </c>
    </row>
    <row r="4" customFormat="false" ht="15" hidden="false" customHeight="false" outlineLevel="0" collapsed="false">
      <c r="A4" s="20" t="n">
        <v>3</v>
      </c>
      <c r="B4" s="2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23" t="s">
        <v>93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5" t="s">
        <v>94</v>
      </c>
    </row>
    <row r="4" customFormat="false" ht="26.85" hidden="false" customHeight="false" outlineLevel="0" collapsed="false">
      <c r="A4" s="24" t="s">
        <v>95</v>
      </c>
    </row>
    <row r="5" customFormat="false" ht="15" hidden="false" customHeight="false" outlineLevel="0" collapsed="false">
      <c r="A5" s="24"/>
    </row>
    <row r="6" customFormat="false" ht="15" hidden="false" customHeight="false" outlineLevel="0" collapsed="false">
      <c r="A6" s="25" t="s">
        <v>96</v>
      </c>
    </row>
    <row r="7" customFormat="false" ht="15" hidden="false" customHeight="false" outlineLevel="0" collapsed="false">
      <c r="A7" s="24" t="s">
        <v>97</v>
      </c>
    </row>
    <row r="8" customFormat="false" ht="26.85" hidden="false" customHeight="false" outlineLevel="0" collapsed="false">
      <c r="A8" s="24" t="s">
        <v>98</v>
      </c>
    </row>
    <row r="9" customFormat="false" ht="26.85" hidden="false" customHeight="false" outlineLevel="0" collapsed="false">
      <c r="A9" s="24" t="s">
        <v>99</v>
      </c>
    </row>
    <row r="10" customFormat="false" ht="15" hidden="false" customHeight="false" outlineLevel="0" collapsed="false">
      <c r="A10" s="24"/>
    </row>
    <row r="11" customFormat="false" ht="15" hidden="false" customHeight="false" outlineLevel="0" collapsed="false">
      <c r="A11" s="25" t="s">
        <v>100</v>
      </c>
    </row>
    <row r="12" customFormat="false" ht="15" hidden="false" customHeight="false" outlineLevel="0" collapsed="false">
      <c r="A12" s="24" t="s">
        <v>101</v>
      </c>
    </row>
    <row r="13" customFormat="false" ht="15" hidden="false" customHeight="false" outlineLevel="0" collapsed="false">
      <c r="A13" s="24" t="s">
        <v>102</v>
      </c>
    </row>
    <row r="14" customFormat="false" ht="26.85" hidden="false" customHeight="false" outlineLevel="0" collapsed="false">
      <c r="A14" s="24" t="s">
        <v>103</v>
      </c>
    </row>
    <row r="15" customFormat="false" ht="15" hidden="false" customHeight="false" outlineLevel="0" collapsed="false">
      <c r="A15" s="24" t="s">
        <v>104</v>
      </c>
    </row>
    <row r="16" customFormat="false" ht="15" hidden="false" customHeight="false" outlineLevel="0" collapsed="false">
      <c r="A16" s="24"/>
    </row>
    <row r="17" customFormat="false" ht="15" hidden="false" customHeight="false" outlineLevel="0" collapsed="false">
      <c r="A17" s="25" t="s">
        <v>105</v>
      </c>
    </row>
    <row r="18" customFormat="false" ht="26.85" hidden="false" customHeight="false" outlineLevel="0" collapsed="false">
      <c r="A18" s="24" t="s">
        <v>106</v>
      </c>
    </row>
    <row r="19" customFormat="false" ht="15" hidden="false" customHeight="false" outlineLevel="0" collapsed="false">
      <c r="A19" s="24" t="s">
        <v>107</v>
      </c>
    </row>
    <row r="20" customFormat="false" ht="26.85" hidden="false" customHeight="false" outlineLevel="0" collapsed="false">
      <c r="A20" s="24" t="s">
        <v>108</v>
      </c>
    </row>
    <row r="21" customFormat="false" ht="15" hidden="false" customHeight="false" outlineLevel="0" collapsed="false">
      <c r="A21" s="24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2026-10-07T02:48:18Z</dcterms:created>
  <dc:creator>openpyxl</dc:creator>
  <dc:description/>
  <dc:language>en-US</dc:language>
  <cp:lastModifiedBy/>
  <dcterms:modified xsi:type="dcterms:W3CDTF">2026-10-07T02:48:21Z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